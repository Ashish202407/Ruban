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 Build-up" sheetId="3" state="visible" r:id="rId3"/>
    <sheet xmlns:r="http://schemas.openxmlformats.org/officeDocument/2006/relationships" name="P&amp;L" sheetId="4" state="visible" r:id="rId4"/>
    <sheet xmlns:r="http://schemas.openxmlformats.org/officeDocument/2006/relationships" name="Balance Sheet" sheetId="5" state="visible" r:id="rId5"/>
    <sheet xmlns:r="http://schemas.openxmlformats.org/officeDocument/2006/relationships" name="Cash Flow" sheetId="6" state="visible" r:id="rId6"/>
    <sheet xmlns:r="http://schemas.openxmlformats.org/officeDocument/2006/relationships" name="Unit Economics" sheetId="7" state="visible" r:id="rId7"/>
    <sheet xmlns:r="http://schemas.openxmlformats.org/officeDocument/2006/relationships" name="Fundraising" sheetId="8" state="visible" r:id="rId8"/>
    <sheet xmlns:r="http://schemas.openxmlformats.org/officeDocument/2006/relationships" name="_ChartData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₹#,##0"/>
    <numFmt numFmtId="165" formatCode="0.0"/>
    <numFmt numFmtId="166" formatCode="0.0%"/>
    <numFmt numFmtId="167" formatCode="0.0&quot;x&quot;"/>
    <numFmt numFmtId="168" formatCode="#,##0.0"/>
  </numFmts>
  <fonts count="2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B3A5C"/>
      <sz val="10"/>
    </font>
    <font>
      <name val="Calibri"/>
      <color rgb="002E5E8E"/>
      <sz val="10"/>
    </font>
    <font>
      <name val="Calibri"/>
      <i val="1"/>
      <color rgb="00808080"/>
      <sz val="9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i val="1"/>
      <color rgb="00808080"/>
      <sz val="10"/>
    </font>
    <font>
      <name val="Calibri"/>
      <b val="1"/>
      <color rgb="0027AE60"/>
      <sz val="10"/>
    </font>
    <font>
      <name val="Calibri"/>
      <b val="1"/>
      <color rgb="00FFFFFF"/>
      <sz val="22"/>
    </font>
    <font>
      <name val="Calibri"/>
      <color rgb="00F39C12"/>
      <sz val="8"/>
    </font>
    <font>
      <name val="Calibri"/>
      <color rgb="00FFFFFF"/>
      <sz val="8"/>
    </font>
    <font>
      <name val="Calibri"/>
      <b val="1"/>
      <color rgb="00F39C12"/>
      <sz val="9"/>
    </font>
    <font>
      <name val="Calibri"/>
      <b val="1"/>
      <color rgb="00FFFFFF"/>
      <sz val="8"/>
    </font>
    <font>
      <name val="Calibri"/>
      <b val="1"/>
      <color rgb="001B3A5C"/>
      <sz val="13"/>
    </font>
    <font>
      <name val="Calibri"/>
      <color rgb="0027AE60"/>
      <sz val="8"/>
    </font>
    <font>
      <name val="Calibri"/>
      <color rgb="00808080"/>
      <sz val="8"/>
    </font>
    <font>
      <name val="Calibri"/>
      <color rgb="00808080"/>
      <sz val="7"/>
    </font>
    <font>
      <name val="Calibri"/>
      <b val="1"/>
      <color rgb="001B3A5C"/>
      <sz val="11"/>
    </font>
    <font>
      <name val="Calibri"/>
      <color rgb="00333333"/>
      <sz val="8"/>
    </font>
    <font>
      <name val="Calibri"/>
      <b val="1"/>
      <color rgb="001B3A5C"/>
      <sz val="9"/>
    </font>
    <font>
      <name val="Calibri"/>
      <b val="1"/>
      <color rgb="0027AE60"/>
      <sz val="9"/>
    </font>
    <font>
      <name val="Calibri"/>
      <b val="1"/>
      <color rgb="00FFFFFF"/>
      <sz val="7"/>
    </font>
    <font>
      <name val="Calibri"/>
      <b val="1"/>
      <color rgb="001B3A5C"/>
      <sz val="12"/>
    </font>
  </fonts>
  <fills count="10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6E4F0"/>
      </patternFill>
    </fill>
    <fill>
      <patternFill patternType="solid">
        <fgColor rgb="00EBF1F8"/>
      </patternFill>
    </fill>
    <fill>
      <patternFill patternType="solid">
        <fgColor rgb="002E5E8E"/>
      </patternFill>
    </fill>
    <fill>
      <patternFill patternType="solid">
        <fgColor rgb="00E8F5E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4">
    <border>
      <left/>
      <right/>
      <top/>
      <bottom/>
      <diagonal/>
    </border>
    <border>
      <left style="hair">
        <color rgb="00D6E4F0"/>
      </left>
      <right style="hair">
        <color rgb="00D6E4F0"/>
      </right>
      <top style="hair">
        <color rgb="00D6E4F0"/>
      </top>
      <bottom style="hair">
        <color rgb="00D6E4F0"/>
      </bottom>
    </border>
    <border>
      <bottom style="medium">
        <color rgb="002E5E8E"/>
      </bottom>
    </border>
    <border>
      <top style="thin">
        <color rgb="00333333"/>
      </top>
      <bottom style="thin">
        <color rgb="00333333"/>
      </bottom>
    </border>
    <border>
      <top style="thin">
        <color rgb="00333333"/>
      </top>
      <bottom style="double">
        <color rgb="00333333"/>
      </bottom>
    </border>
    <border>
      <left style="thin">
        <color rgb="00D0D0D0"/>
      </left>
      <right/>
      <top style="thin">
        <color rgb="00D0D0D0"/>
      </top>
      <bottom/>
    </border>
    <border>
      <left/>
      <right/>
      <top style="thin">
        <color rgb="00D0D0D0"/>
      </top>
      <bottom/>
    </border>
    <border>
      <left/>
      <right style="thin">
        <color rgb="00D0D0D0"/>
      </right>
      <top style="thin">
        <color rgb="00D0D0D0"/>
      </top>
      <bottom/>
    </border>
    <border>
      <left style="thin">
        <color rgb="00D0D0D0"/>
      </left>
      <right/>
      <top/>
      <bottom/>
    </border>
    <border>
      <left/>
      <right/>
      <top/>
      <bottom/>
    </border>
    <border>
      <left/>
      <right style="thin">
        <color rgb="00D0D0D0"/>
      </right>
      <top/>
      <bottom/>
    </border>
    <border>
      <left style="thin">
        <color rgb="00D0D0D0"/>
      </left>
      <right/>
      <top/>
      <bottom style="thin">
        <color rgb="00D0D0D0"/>
      </bottom>
    </border>
    <border>
      <left/>
      <right/>
      <top/>
      <bottom style="thin">
        <color rgb="00D0D0D0"/>
      </bottom>
    </border>
    <border>
      <left/>
      <right style="thin">
        <color rgb="00D0D0D0"/>
      </right>
      <top/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/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 style="thin">
        <color rgb="00D0D0D0"/>
      </left>
      <right style="thin">
        <color rgb="00D0D0D0"/>
      </right>
      <top/>
      <bottom/>
    </border>
    <border>
      <left/>
      <right style="thin">
        <color rgb="00D0D0D0"/>
      </right>
      <top/>
      <bottom/>
      <diagonal/>
    </border>
    <border>
      <left style="thin">
        <color rgb="00D0D0D0"/>
      </left>
      <right style="thin">
        <color rgb="00D0D0D0"/>
      </right>
      <top/>
      <bottom style="thin">
        <color rgb="00D0D0D0"/>
      </bottom>
    </border>
    <border>
      <left/>
      <right/>
      <top/>
      <bottom style="thin">
        <color rgb="00D0D0D0"/>
      </bottom>
      <diagonal/>
    </border>
    <border>
      <left/>
      <right style="thin">
        <color rgb="00D0D0D0"/>
      </right>
      <top/>
      <bottom style="thin">
        <color rgb="00D0D0D0"/>
      </bottom>
      <diagonal/>
    </border>
    <border>
      <left style="thin">
        <color rgb="00D0D0D0"/>
      </left>
      <right/>
      <top/>
      <bottom/>
      <diagonal/>
    </border>
    <border>
      <left style="thin">
        <color rgb="00D0D0D0"/>
      </left>
      <right/>
      <top/>
      <bottom style="thin">
        <color rgb="00D0D0D0"/>
      </bottom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0" fillId="2" borderId="0" pivotButton="0" quotePrefix="0" xfId="0"/>
    <xf numFmtId="0" fontId="10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bottom"/>
    </xf>
    <xf numFmtId="0" fontId="13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 vertical="top"/>
    </xf>
    <xf numFmtId="0" fontId="12" fillId="2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14" fillId="2" borderId="14" applyAlignment="1" pivotButton="0" quotePrefix="0" xfId="0">
      <alignment horizontal="center" vertical="center" wrapText="1"/>
    </xf>
    <xf numFmtId="0" fontId="0" fillId="2" borderId="15" pivotButton="0" quotePrefix="0" xfId="0"/>
    <xf numFmtId="0" fontId="0" fillId="2" borderId="16" pivotButton="0" quotePrefix="0" xfId="0"/>
    <xf numFmtId="0" fontId="15" fillId="8" borderId="17" applyAlignment="1" pivotButton="0" quotePrefix="0" xfId="0">
      <alignment horizontal="center" vertical="center" wrapText="1"/>
    </xf>
    <xf numFmtId="0" fontId="0" fillId="0" borderId="18" pivotButton="0" quotePrefix="0" xfId="0"/>
    <xf numFmtId="0" fontId="16" fillId="8" borderId="19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17" fillId="8" borderId="19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0" fillId="8" borderId="6" pivotButton="0" quotePrefix="0" xfId="0"/>
    <xf numFmtId="0" fontId="0" fillId="8" borderId="7" pivotButton="0" quotePrefix="0" xfId="0"/>
    <xf numFmtId="0" fontId="0" fillId="8" borderId="8" pivotButton="0" quotePrefix="0" xfId="0"/>
    <xf numFmtId="0" fontId="0" fillId="8" borderId="9" pivotButton="0" quotePrefix="0" xfId="0"/>
    <xf numFmtId="0" fontId="0" fillId="8" borderId="10" pivotButton="0" quotePrefix="0" xfId="0"/>
    <xf numFmtId="0" fontId="0" fillId="8" borderId="11" pivotButton="0" quotePrefix="0" xfId="0"/>
    <xf numFmtId="0" fontId="0" fillId="8" borderId="12" pivotButton="0" quotePrefix="0" xfId="0"/>
    <xf numFmtId="0" fontId="0" fillId="8" borderId="13" pivotButton="0" quotePrefix="0" xfId="0"/>
    <xf numFmtId="0" fontId="18" fillId="8" borderId="8" applyAlignment="1" pivotButton="0" quotePrefix="0" xfId="0">
      <alignment horizontal="center" vertical="center" wrapText="1"/>
    </xf>
    <xf numFmtId="0" fontId="18" fillId="8" borderId="9" applyAlignment="1" pivotButton="0" quotePrefix="0" xfId="0">
      <alignment horizontal="center" vertical="center" wrapText="1"/>
    </xf>
    <xf numFmtId="0" fontId="18" fillId="8" borderId="10" applyAlignment="1" pivotButton="0" quotePrefix="0" xfId="0">
      <alignment horizontal="center" vertical="center" wrapText="1"/>
    </xf>
    <xf numFmtId="0" fontId="19" fillId="8" borderId="8" applyAlignment="1" pivotButton="0" quotePrefix="0" xfId="0">
      <alignment horizontal="center" vertical="center" wrapText="1"/>
    </xf>
    <xf numFmtId="0" fontId="19" fillId="8" borderId="9" applyAlignment="1" pivotButton="0" quotePrefix="0" xfId="0">
      <alignment horizontal="center" vertical="center" wrapText="1"/>
    </xf>
    <xf numFmtId="0" fontId="19" fillId="8" borderId="10" applyAlignment="1" pivotButton="0" quotePrefix="0" xfId="0">
      <alignment horizontal="center" vertical="center" wrapText="1"/>
    </xf>
    <xf numFmtId="0" fontId="20" fillId="8" borderId="8" applyAlignment="1" pivotButton="0" quotePrefix="0" xfId="0">
      <alignment horizontal="left" vertical="center"/>
    </xf>
    <xf numFmtId="0" fontId="21" fillId="8" borderId="10" applyAlignment="1" pivotButton="0" quotePrefix="0" xfId="0">
      <alignment horizontal="right" vertical="center"/>
    </xf>
    <xf numFmtId="0" fontId="20" fillId="9" borderId="8" applyAlignment="1" pivotButton="0" quotePrefix="0" xfId="0">
      <alignment horizontal="left" vertical="center"/>
    </xf>
    <xf numFmtId="0" fontId="21" fillId="9" borderId="10" applyAlignment="1" pivotButton="0" quotePrefix="0" xfId="0">
      <alignment horizontal="right" vertical="center"/>
    </xf>
    <xf numFmtId="0" fontId="20" fillId="8" borderId="11" applyAlignment="1" pivotButton="0" quotePrefix="0" xfId="0">
      <alignment horizontal="left" vertical="center"/>
    </xf>
    <xf numFmtId="0" fontId="22" fillId="8" borderId="13" applyAlignment="1" pivotButton="0" quotePrefix="0" xfId="0">
      <alignment horizontal="right" vertical="center"/>
    </xf>
    <xf numFmtId="0" fontId="23" fillId="5" borderId="14" applyAlignment="1" pivotButton="0" quotePrefix="0" xfId="0">
      <alignment horizontal="center" vertical="center" wrapText="1"/>
    </xf>
    <xf numFmtId="0" fontId="0" fillId="5" borderId="15" pivotButton="0" quotePrefix="0" xfId="0"/>
    <xf numFmtId="0" fontId="0" fillId="5" borderId="16" pivotButton="0" quotePrefix="0" xfId="0"/>
    <xf numFmtId="0" fontId="24" fillId="8" borderId="19" applyAlignment="1" pivotButton="0" quotePrefix="0" xfId="0">
      <alignment horizontal="center" vertical="center" wrapText="1"/>
    </xf>
    <xf numFmtId="0" fontId="0" fillId="0" borderId="23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4" fillId="0" borderId="1" applyAlignment="1" pivotButton="0" quotePrefix="0" xfId="0">
      <alignment horizontal="left" vertical="center" indent="2"/>
    </xf>
    <xf numFmtId="3" fontId="4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4" borderId="3" applyAlignment="1" pivotButton="0" quotePrefix="0" xfId="0">
      <alignment horizontal="left" vertical="center"/>
    </xf>
    <xf numFmtId="3" fontId="6" fillId="4" borderId="3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4" fontId="6" fillId="4" borderId="3" applyAlignment="1" pivotButton="0" quotePrefix="0" xfId="0">
      <alignment horizontal="right" vertical="center"/>
    </xf>
    <xf numFmtId="166" fontId="7" fillId="0" borderId="0" pivotButton="0" quotePrefix="0" xfId="0"/>
    <xf numFmtId="0" fontId="3" fillId="4" borderId="4" applyAlignment="1" pivotButton="0" quotePrefix="0" xfId="0">
      <alignment horizontal="left" vertical="center"/>
    </xf>
    <xf numFmtId="4" fontId="3" fillId="4" borderId="4" applyAlignment="1" pivotButton="0" quotePrefix="0" xfId="0">
      <alignment horizontal="right" vertical="center"/>
    </xf>
    <xf numFmtId="166" fontId="3" fillId="0" borderId="0" pivotButton="0" quotePrefix="0" xfId="0"/>
    <xf numFmtId="0" fontId="8" fillId="0" borderId="1" applyAlignment="1" pivotButton="0" quotePrefix="0" xfId="0">
      <alignment horizontal="left" vertical="center"/>
    </xf>
    <xf numFmtId="166" fontId="8" fillId="0" borderId="1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indent="4"/>
    </xf>
    <xf numFmtId="0" fontId="8" fillId="0" borderId="1" applyAlignment="1" pivotButton="0" quotePrefix="0" xfId="0">
      <alignment horizontal="left" vertical="center" indent="2"/>
    </xf>
    <xf numFmtId="0" fontId="7" fillId="0" borderId="1" applyAlignment="1" pivotButton="0" quotePrefix="0" xfId="0">
      <alignment horizontal="left" vertical="center"/>
    </xf>
    <xf numFmtId="4" fontId="7" fillId="0" borderId="1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/>
    </xf>
    <xf numFmtId="4" fontId="9" fillId="6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indent="2"/>
    </xf>
    <xf numFmtId="167" fontId="3" fillId="4" borderId="4" applyAlignment="1" pivotButton="0" quotePrefix="0" xfId="0">
      <alignment horizontal="right" vertical="center"/>
    </xf>
    <xf numFmtId="0" fontId="4" fillId="0" borderId="1" pivotButton="0" quotePrefix="0" xfId="0"/>
    <xf numFmtId="4" fontId="4" fillId="0" borderId="1" pivotButton="0" quotePrefix="0" xfId="0"/>
    <xf numFmtId="166" fontId="4" fillId="0" borderId="1" pivotButton="0" quotePrefix="0" xfId="0"/>
    <xf numFmtId="0" fontId="0" fillId="0" borderId="1" pivotButton="0" quotePrefix="0" xfId="0"/>
    <xf numFmtId="166" fontId="6" fillId="4" borderId="3" applyAlignment="1" pivotButton="0" quotePrefix="0" xfId="0">
      <alignment horizontal="right" vertical="center"/>
    </xf>
    <xf numFmtId="168" fontId="4" fillId="0" borderId="1" pivotButton="0" quotePrefix="0" xfId="0"/>
    <xf numFmtId="168" fontId="7" fillId="0" borderId="1" pivotButton="0" quotePrefix="0" xfId="0"/>
    <xf numFmtId="167" fontId="7" fillId="0" borderId="1" pivotButton="0" quotePrefix="0" xfId="0"/>
    <xf numFmtId="166" fontId="7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Trend (₹ Cr)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2000">
              <a:solidFill>
                <a:srgbClr val="2E5E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'_ChartData'!$B$1:$F$1</f>
            </numRef>
          </cat>
          <val>
            <numRef>
              <f>'_ChartData'!$B$2:$F$2</f>
            </numRef>
          </val>
        </ser>
        <ser>
          <idx val="1"/>
          <order val="1"/>
          <spPr>
            <a:ln xmlns:a="http://schemas.openxmlformats.org/drawingml/2006/main" w="22000">
              <a:solidFill>
                <a:srgbClr val="27AE6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'_ChartData'!$B$1:$F$1</f>
            </numRef>
          </cat>
          <val>
            <numRef>
              <f>'_ChartData'!$B$3:$F$3</f>
            </numRef>
          </val>
        </ser>
        <ser>
          <idx val="2"/>
          <order val="2"/>
          <spPr>
            <a:ln xmlns:a="http://schemas.openxmlformats.org/drawingml/2006/main" w="22000">
              <a:solidFill>
                <a:srgbClr val="E67E2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'_ChartData'!$B$1:$F$1</f>
            </numRef>
          </cat>
          <val>
            <numRef>
              <f>'_ChartData'!$B$4:$F$4</f>
            </numRef>
          </val>
        </ser>
        <ser>
          <idx val="3"/>
          <order val="3"/>
          <spPr>
            <a:ln xmlns:a="http://schemas.openxmlformats.org/drawingml/2006/main" w="22000">
              <a:solidFill>
                <a:srgbClr val="1B3A5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'_ChartData'!$B$1:$F$1</f>
            </numRef>
          </cat>
          <val>
            <numRef>
              <f>'_ChartData'!$B$5:$F$5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Cr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Mix — Year 5</a:t>
            </a:r>
          </a:p>
        </rich>
      </tx>
    </title>
    <plotArea>
      <pieChart>
        <varyColors val="1"/>
        <ser>
          <idx val="0"/>
          <order val="0"/>
          <tx>
            <strRef>
              <f>'_ChartData'!B7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5E8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cat>
            <numRef>
              <f>'_ChartData'!$A$8:$A$10</f>
            </numRef>
          </cat>
          <val>
            <numRef>
              <f>'_ChartData'!$B$8:$B$10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Margins — Year 5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'_ChartData'!B12</f>
            </strRef>
          </tx>
          <spPr>
            <a:solidFill xmlns:a="http://schemas.openxmlformats.org/drawingml/2006/main">
              <a:srgbClr val="2E5E8E"/>
            </a:solidFill>
            <a:ln xmlns:a="http://schemas.openxmlformats.org/drawingml/2006/main">
              <a:prstDash val="solid"/>
            </a:ln>
          </spPr>
          <cat>
            <numRef>
              <f>'_ChartData'!$A$13:$A$15</f>
            </numRef>
          </cat>
          <val>
            <numRef>
              <f>'_ChartData'!$B$13:$B$15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Funnel —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'_ChartData'!B22</f>
            </strRef>
          </tx>
          <spPr>
            <a:solidFill xmlns:a="http://schemas.openxmlformats.org/drawingml/2006/main">
              <a:srgbClr val="1B3A5C"/>
            </a:solidFill>
            <a:ln xmlns:a="http://schemas.openxmlformats.org/drawingml/2006/main">
              <a:prstDash val="solid"/>
            </a:ln>
          </spPr>
          <cat>
            <numRef>
              <f>'_ChartData'!$A$23:$A$26</f>
            </numRef>
          </cat>
          <val>
            <numRef>
              <f>'_ChartData'!$B$23:$B$26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Customers by Channel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E5E8E"/>
            </a:solidFill>
            <a:ln xmlns:a="http://schemas.openxmlformats.org/drawingml/2006/main">
              <a:prstDash val="solid"/>
            </a:ln>
          </spPr>
          <cat>
            <numRef>
              <f>'_ChartData'!$B$17:$F$17</f>
            </numRef>
          </cat>
          <val>
            <numRef>
              <f>'_ChartData'!$B$18:$F$18</f>
            </numRef>
          </val>
        </ser>
        <ser>
          <idx val="1"/>
          <order val="1"/>
          <spPr>
            <a:solidFill xmlns:a="http://schemas.openxmlformats.org/drawingml/2006/main">
              <a:srgbClr val="27AE60"/>
            </a:solidFill>
            <a:ln xmlns:a="http://schemas.openxmlformats.org/drawingml/2006/main">
              <a:prstDash val="solid"/>
            </a:ln>
          </spPr>
          <cat>
            <numRef>
              <f>'_ChartData'!$B$17:$F$17</f>
            </numRef>
          </cat>
          <val>
            <numRef>
              <f>'_ChartData'!$B$19:$F$19</f>
            </numRef>
          </val>
        </ser>
        <ser>
          <idx val="2"/>
          <order val="2"/>
          <spPr>
            <a:solidFill xmlns:a="http://schemas.openxmlformats.org/drawingml/2006/main">
              <a:srgbClr val="E67E22"/>
            </a:solidFill>
            <a:ln xmlns:a="http://schemas.openxmlformats.org/drawingml/2006/main">
              <a:prstDash val="solid"/>
            </a:ln>
          </spPr>
          <cat>
            <numRef>
              <f>'_ChartData'!$B$17:$F$17</f>
            </numRef>
          </cat>
          <val>
            <numRef>
              <f>'_ChartData'!$B$20:$F$20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Series B Allocation</a:t>
            </a:r>
          </a:p>
        </rich>
      </tx>
    </title>
    <plotArea>
      <pieChart>
        <varyColors val="1"/>
        <ser>
          <idx val="0"/>
          <order val="0"/>
          <tx>
            <strRef>
              <f>'_ChartData'!B28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3A5C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5E8E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39C12"/>
              </a:solidFill>
              <a:ln xmlns:a="http://schemas.openxmlformats.org/drawingml/2006/main">
                <a:prstDash val="solid"/>
              </a:ln>
            </spPr>
          </dPt>
          <cat>
            <numRef>
              <f>'_ChartData'!$A$29:$A$33</f>
            </numRef>
          </cat>
          <val>
            <numRef>
              <f>'_ChartData'!$B$29:$B$33</f>
            </numRef>
          </val>
        </ser>
        <dLbls>
          <showCatName val="1"/>
          <showPercent val="1"/>
        </dLbls>
        <firstSliceAng val="0"/>
      </pieChart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 Table</a:t>
            </a:r>
          </a:p>
        </rich>
      </tx>
    </title>
    <plotArea>
      <pieChart>
        <varyColors val="1"/>
        <ser>
          <idx val="0"/>
          <order val="0"/>
          <tx>
            <strRef>
              <f>'_ChartData'!B35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3A5C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39C12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E5E8E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cat>
            <numRef>
              <f>'_ChartData'!$A$36:$A$42</f>
            </numRef>
          </cat>
          <val>
            <numRef>
              <f>'_ChartData'!$B$36:$B$42</f>
            </numRef>
          </val>
        </ser>
        <dLbls>
          <showCatName val="1"/>
          <showPercent val="1"/>
        </dLbls>
        <firstSliceAng val="0"/>
      </pieChart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61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8</row>
      <rowOff>0</rowOff>
    </from>
    <ext cx="3960000" cy="37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8</row>
      <rowOff>0</rowOff>
    </from>
    <ext cx="5400000" cy="19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24</row>
      <rowOff>0</rowOff>
    </from>
    <ext cx="3780000" cy="37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7</col>
      <colOff>0</colOff>
      <row>24</row>
      <rowOff>0</rowOff>
    </from>
    <ext cx="6480000" cy="37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17</col>
      <colOff>0</colOff>
      <row>24</row>
      <rowOff>0</rowOff>
    </from>
    <ext cx="4680000" cy="18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17</col>
      <colOff>0</colOff>
      <row>31</row>
      <rowOff>0</rowOff>
    </from>
    <ext cx="4680000" cy="19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Z5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2" customWidth="1" min="26" max="26"/>
  </cols>
  <sheetData>
    <row r="1" ht="22" customHeight="1">
      <c r="A1" s="1" t="n"/>
      <c r="B1" s="2" t="inlineStr">
        <is>
          <t>RUBAN</t>
        </is>
      </c>
      <c r="E1" s="3" t="inlineStr">
        <is>
          <t>Premium Fashion D2C Brand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4" t="inlineStr">
        <is>
          <t>Showing: Year 5</t>
        </is>
      </c>
      <c r="Z1" s="1" t="n"/>
    </row>
    <row r="2" ht="22" customHeight="1">
      <c r="A2" s="1" t="n"/>
      <c r="E2" s="5" t="inlineStr">
        <is>
          <t>5-Year Financial Model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6" t="inlineStr">
        <is>
          <t>FY 2028-29</t>
        </is>
      </c>
      <c r="Z2" s="1" t="n"/>
    </row>
    <row r="3" ht="5" customHeight="1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6.5" customHeight="1">
      <c r="A4" s="7" t="n"/>
      <c r="B4" s="8" t="inlineStr">
        <is>
          <t>Revenue</t>
        </is>
      </c>
      <c r="C4" s="9" t="n"/>
      <c r="D4" s="10" t="n"/>
      <c r="E4" s="8" t="inlineStr">
        <is>
          <t>Gross Profit</t>
        </is>
      </c>
      <c r="F4" s="9" t="n"/>
      <c r="G4" s="10" t="n"/>
      <c r="H4" s="8" t="inlineStr">
        <is>
          <t>OPEX</t>
        </is>
      </c>
      <c r="I4" s="9" t="n"/>
      <c r="J4" s="10" t="n"/>
      <c r="K4" s="8" t="inlineStr">
        <is>
          <t>EBITDA</t>
        </is>
      </c>
      <c r="L4" s="9" t="n"/>
      <c r="M4" s="10" t="n"/>
      <c r="N4" s="8" t="inlineStr">
        <is>
          <t>Customers</t>
        </is>
      </c>
      <c r="O4" s="9" t="n"/>
      <c r="P4" s="10" t="n"/>
      <c r="Q4" s="8" t="inlineStr">
        <is>
          <t>Churn</t>
        </is>
      </c>
      <c r="R4" s="9" t="n"/>
      <c r="S4" s="10" t="n"/>
      <c r="T4" s="8" t="inlineStr">
        <is>
          <t>CAC</t>
        </is>
      </c>
      <c r="U4" s="9" t="n"/>
      <c r="V4" s="10" t="n"/>
      <c r="W4" s="8" t="inlineStr">
        <is>
          <t>LTV</t>
        </is>
      </c>
      <c r="X4" s="9" t="n"/>
      <c r="Y4" s="10" t="n"/>
      <c r="Z4" s="7" t="n"/>
    </row>
    <row r="5" ht="30" customHeight="1">
      <c r="A5" s="7" t="n"/>
      <c r="B5" s="11" t="inlineStr">
        <is>
          <t>₹85.0 Cr</t>
        </is>
      </c>
      <c r="D5" s="12" t="n"/>
      <c r="E5" s="11" t="inlineStr">
        <is>
          <t>₹49.3 Cr</t>
        </is>
      </c>
      <c r="G5" s="12" t="n"/>
      <c r="H5" s="11" t="inlineStr">
        <is>
          <t>₹21.8 Cr</t>
        </is>
      </c>
      <c r="J5" s="12" t="n"/>
      <c r="K5" s="11" t="inlineStr">
        <is>
          <t>₹27.5 Cr</t>
        </is>
      </c>
      <c r="M5" s="12" t="n"/>
      <c r="N5" s="11" t="inlineStr">
        <is>
          <t>120,000</t>
        </is>
      </c>
      <c r="P5" s="12" t="n"/>
      <c r="Q5" s="11" t="inlineStr">
        <is>
          <t>20%</t>
        </is>
      </c>
      <c r="S5" s="12" t="n"/>
      <c r="T5" s="11" t="inlineStr">
        <is>
          <t>₹480</t>
        </is>
      </c>
      <c r="V5" s="12" t="n"/>
      <c r="W5" s="11" t="inlineStr">
        <is>
          <t>₹14,500</t>
        </is>
      </c>
      <c r="Y5" s="12" t="n"/>
      <c r="Z5" s="7" t="n"/>
    </row>
    <row r="6" ht="16.5" customHeight="1">
      <c r="A6" s="7" t="n"/>
      <c r="B6" s="13" t="inlineStr">
        <is>
          <t>+77% YoY</t>
        </is>
      </c>
      <c r="C6" s="14" t="n"/>
      <c r="D6" s="15" t="n"/>
      <c r="E6" s="13" t="inlineStr">
        <is>
          <t>+80% YoY</t>
        </is>
      </c>
      <c r="F6" s="14" t="n"/>
      <c r="G6" s="15" t="n"/>
      <c r="H6" s="16" t="inlineStr">
        <is>
          <t>26% of Revenue</t>
        </is>
      </c>
      <c r="I6" s="14" t="n"/>
      <c r="J6" s="15" t="n"/>
      <c r="K6" s="13" t="inlineStr">
        <is>
          <t>18% Margin</t>
        </is>
      </c>
      <c r="L6" s="14" t="n"/>
      <c r="M6" s="15" t="n"/>
      <c r="N6" s="13" t="inlineStr">
        <is>
          <t>+67% YoY</t>
        </is>
      </c>
      <c r="O6" s="14" t="n"/>
      <c r="P6" s="15" t="n"/>
      <c r="Q6" s="13" t="inlineStr">
        <is>
          <t>Improving ↓</t>
        </is>
      </c>
      <c r="R6" s="14" t="n"/>
      <c r="S6" s="15" t="n"/>
      <c r="T6" s="13" t="inlineStr">
        <is>
          <t>-20% YoY</t>
        </is>
      </c>
      <c r="U6" s="14" t="n"/>
      <c r="V6" s="15" t="n"/>
      <c r="W6" s="13" t="inlineStr">
        <is>
          <t>+21% YoY</t>
        </is>
      </c>
      <c r="X6" s="14" t="n"/>
      <c r="Y6" s="15" t="n"/>
      <c r="Z6" s="7" t="n"/>
    </row>
    <row r="7" ht="6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6.5" customHeight="1">
      <c r="A8" s="7" t="n"/>
      <c r="B8" s="17" t="inlineStr">
        <is>
          <t>Revenue Trend</t>
        </is>
      </c>
      <c r="C8" s="9" t="n"/>
      <c r="D8" s="9" t="n"/>
      <c r="E8" s="9" t="n"/>
      <c r="F8" s="18" t="n"/>
      <c r="G8" s="18" t="n"/>
      <c r="H8" s="18" t="n"/>
      <c r="I8" s="18" t="n"/>
      <c r="J8" s="19" t="n"/>
      <c r="K8" s="17" t="inlineStr">
        <is>
          <t>Revenue Breakup</t>
        </is>
      </c>
      <c r="L8" s="9" t="n"/>
      <c r="M8" s="9" t="n"/>
      <c r="N8" s="9" t="n"/>
      <c r="O8" s="18" t="n"/>
      <c r="P8" s="19" t="n"/>
      <c r="Q8" s="17" t="inlineStr">
        <is>
          <t>Profitability Ratios</t>
        </is>
      </c>
      <c r="R8" s="9" t="n"/>
      <c r="S8" s="9" t="n"/>
      <c r="T8" s="9" t="n"/>
      <c r="U8" s="9" t="n"/>
      <c r="V8" s="18" t="n"/>
      <c r="W8" s="18" t="n"/>
      <c r="X8" s="18" t="n"/>
      <c r="Y8" s="19" t="n"/>
      <c r="Z8" s="7" t="n"/>
    </row>
    <row r="9" ht="16.5" customHeight="1">
      <c r="A9" s="7" t="n"/>
      <c r="B9" s="20" t="n"/>
      <c r="C9" s="21" t="n"/>
      <c r="D9" s="21" t="n"/>
      <c r="E9" s="21" t="n"/>
      <c r="F9" s="21" t="n"/>
      <c r="G9" s="21" t="n"/>
      <c r="H9" s="21" t="n"/>
      <c r="I9" s="21" t="n"/>
      <c r="J9" s="22" t="n"/>
      <c r="K9" s="20" t="n"/>
      <c r="L9" s="21" t="n"/>
      <c r="M9" s="21" t="n"/>
      <c r="N9" s="21" t="n"/>
      <c r="O9" s="21" t="n"/>
      <c r="P9" s="22" t="n"/>
      <c r="Q9" s="20" t="n"/>
      <c r="R9" s="21" t="n"/>
      <c r="S9" s="21" t="n"/>
      <c r="T9" s="21" t="n"/>
      <c r="U9" s="21" t="n"/>
      <c r="V9" s="21" t="n"/>
      <c r="W9" s="21" t="n"/>
      <c r="X9" s="21" t="n"/>
      <c r="Y9" s="22" t="n"/>
      <c r="Z9" s="7" t="n"/>
    </row>
    <row r="10" ht="16.5" customHeight="1">
      <c r="A10" s="7" t="n"/>
      <c r="B10" s="20" t="n"/>
      <c r="C10" s="21" t="n"/>
      <c r="D10" s="21" t="n"/>
      <c r="E10" s="21" t="n"/>
      <c r="F10" s="21" t="n"/>
      <c r="G10" s="21" t="n"/>
      <c r="H10" s="21" t="n"/>
      <c r="I10" s="21" t="n"/>
      <c r="J10" s="22" t="n"/>
      <c r="K10" s="20" t="n"/>
      <c r="L10" s="21" t="n"/>
      <c r="M10" s="21" t="n"/>
      <c r="N10" s="21" t="n"/>
      <c r="O10" s="21" t="n"/>
      <c r="P10" s="22" t="n"/>
      <c r="Q10" s="20" t="n"/>
      <c r="R10" s="21" t="n"/>
      <c r="S10" s="21" t="n"/>
      <c r="T10" s="21" t="n"/>
      <c r="U10" s="21" t="n"/>
      <c r="V10" s="21" t="n"/>
      <c r="W10" s="21" t="n"/>
      <c r="X10" s="21" t="n"/>
      <c r="Y10" s="22" t="n"/>
      <c r="Z10" s="7" t="n"/>
    </row>
    <row r="11" ht="16.5" customHeight="1">
      <c r="A11" s="7" t="n"/>
      <c r="B11" s="20" t="n"/>
      <c r="C11" s="21" t="n"/>
      <c r="D11" s="21" t="n"/>
      <c r="E11" s="21" t="n"/>
      <c r="F11" s="21" t="n"/>
      <c r="G11" s="21" t="n"/>
      <c r="H11" s="21" t="n"/>
      <c r="I11" s="21" t="n"/>
      <c r="J11" s="22" t="n"/>
      <c r="K11" s="20" t="n"/>
      <c r="L11" s="21" t="n"/>
      <c r="M11" s="21" t="n"/>
      <c r="N11" s="21" t="n"/>
      <c r="O11" s="21" t="n"/>
      <c r="P11" s="22" t="n"/>
      <c r="Q11" s="20" t="n"/>
      <c r="R11" s="21" t="n"/>
      <c r="S11" s="21" t="n"/>
      <c r="T11" s="21" t="n"/>
      <c r="U11" s="21" t="n"/>
      <c r="V11" s="21" t="n"/>
      <c r="W11" s="21" t="n"/>
      <c r="X11" s="21" t="n"/>
      <c r="Y11" s="22" t="n"/>
      <c r="Z11" s="7" t="n"/>
    </row>
    <row r="12" ht="16.5" customHeight="1">
      <c r="A12" s="7" t="n"/>
      <c r="B12" s="20" t="n"/>
      <c r="C12" s="21" t="n"/>
      <c r="D12" s="21" t="n"/>
      <c r="E12" s="21" t="n"/>
      <c r="F12" s="21" t="n"/>
      <c r="G12" s="21" t="n"/>
      <c r="H12" s="21" t="n"/>
      <c r="I12" s="21" t="n"/>
      <c r="J12" s="22" t="n"/>
      <c r="K12" s="20" t="n"/>
      <c r="L12" s="21" t="n"/>
      <c r="M12" s="21" t="n"/>
      <c r="N12" s="21" t="n"/>
      <c r="O12" s="21" t="n"/>
      <c r="P12" s="22" t="n"/>
      <c r="Q12" s="20" t="n"/>
      <c r="R12" s="21" t="n"/>
      <c r="S12" s="21" t="n"/>
      <c r="T12" s="21" t="n"/>
      <c r="U12" s="21" t="n"/>
      <c r="V12" s="21" t="n"/>
      <c r="W12" s="21" t="n"/>
      <c r="X12" s="21" t="n"/>
      <c r="Y12" s="22" t="n"/>
      <c r="Z12" s="7" t="n"/>
    </row>
    <row r="13" ht="16.5" customHeight="1">
      <c r="A13" s="7" t="n"/>
      <c r="B13" s="20" t="n"/>
      <c r="C13" s="21" t="n"/>
      <c r="D13" s="21" t="n"/>
      <c r="E13" s="21" t="n"/>
      <c r="F13" s="21" t="n"/>
      <c r="G13" s="21" t="n"/>
      <c r="H13" s="21" t="n"/>
      <c r="I13" s="21" t="n"/>
      <c r="J13" s="22" t="n"/>
      <c r="K13" s="20" t="n"/>
      <c r="L13" s="21" t="n"/>
      <c r="M13" s="21" t="n"/>
      <c r="N13" s="21" t="n"/>
      <c r="O13" s="21" t="n"/>
      <c r="P13" s="22" t="n"/>
      <c r="Q13" s="20" t="n"/>
      <c r="R13" s="21" t="n"/>
      <c r="S13" s="21" t="n"/>
      <c r="T13" s="21" t="n"/>
      <c r="U13" s="21" t="n"/>
      <c r="V13" s="21" t="n"/>
      <c r="W13" s="21" t="n"/>
      <c r="X13" s="21" t="n"/>
      <c r="Y13" s="22" t="n"/>
      <c r="Z13" s="7" t="n"/>
    </row>
    <row r="14" ht="16.5" customHeight="1">
      <c r="A14" s="7" t="n"/>
      <c r="B14" s="20" t="n"/>
      <c r="C14" s="21" t="n"/>
      <c r="D14" s="21" t="n"/>
      <c r="E14" s="21" t="n"/>
      <c r="F14" s="21" t="n"/>
      <c r="G14" s="21" t="n"/>
      <c r="H14" s="21" t="n"/>
      <c r="I14" s="21" t="n"/>
      <c r="J14" s="22" t="n"/>
      <c r="K14" s="20" t="n"/>
      <c r="L14" s="21" t="n"/>
      <c r="M14" s="21" t="n"/>
      <c r="N14" s="21" t="n"/>
      <c r="O14" s="21" t="n"/>
      <c r="P14" s="22" t="n"/>
      <c r="Q14" s="20" t="n"/>
      <c r="R14" s="21" t="n"/>
      <c r="S14" s="21" t="n"/>
      <c r="T14" s="21" t="n"/>
      <c r="U14" s="21" t="n"/>
      <c r="V14" s="21" t="n"/>
      <c r="W14" s="21" t="n"/>
      <c r="X14" s="21" t="n"/>
      <c r="Y14" s="22" t="n"/>
      <c r="Z14" s="7" t="n"/>
    </row>
    <row r="15" ht="16.5" customHeight="1">
      <c r="A15" s="7" t="n"/>
      <c r="B15" s="20" t="n"/>
      <c r="C15" s="21" t="n"/>
      <c r="D15" s="21" t="n"/>
      <c r="E15" s="21" t="n"/>
      <c r="F15" s="21" t="n"/>
      <c r="G15" s="21" t="n"/>
      <c r="H15" s="21" t="n"/>
      <c r="I15" s="21" t="n"/>
      <c r="J15" s="22" t="n"/>
      <c r="K15" s="20" t="n"/>
      <c r="L15" s="21" t="n"/>
      <c r="M15" s="21" t="n"/>
      <c r="N15" s="21" t="n"/>
      <c r="O15" s="21" t="n"/>
      <c r="P15" s="22" t="n"/>
      <c r="Q15" s="23" t="n"/>
      <c r="R15" s="24" t="n"/>
      <c r="S15" s="24" t="n"/>
      <c r="T15" s="24" t="n"/>
      <c r="U15" s="24" t="n"/>
      <c r="V15" s="24" t="n"/>
      <c r="W15" s="24" t="n"/>
      <c r="X15" s="24" t="n"/>
      <c r="Y15" s="25" t="n"/>
      <c r="Z15" s="7" t="n"/>
    </row>
    <row r="16" ht="16.5" customHeight="1">
      <c r="A16" s="7" t="n"/>
      <c r="B16" s="20" t="n"/>
      <c r="C16" s="21" t="n"/>
      <c r="D16" s="21" t="n"/>
      <c r="E16" s="21" t="n"/>
      <c r="F16" s="21" t="n"/>
      <c r="G16" s="21" t="n"/>
      <c r="H16" s="21" t="n"/>
      <c r="I16" s="21" t="n"/>
      <c r="J16" s="22" t="n"/>
      <c r="K16" s="20" t="n"/>
      <c r="L16" s="21" t="n"/>
      <c r="M16" s="21" t="n"/>
      <c r="N16" s="21" t="n"/>
      <c r="O16" s="21" t="n"/>
      <c r="P16" s="22" t="n"/>
      <c r="Q16" s="17" t="inlineStr">
        <is>
          <t>Deal Snapshot — Series B</t>
        </is>
      </c>
      <c r="R16" s="9" t="n"/>
      <c r="S16" s="9" t="n"/>
      <c r="T16" s="9" t="n"/>
      <c r="U16" s="9" t="n"/>
      <c r="V16" s="18" t="n"/>
      <c r="W16" s="18" t="n"/>
      <c r="X16" s="18" t="n"/>
      <c r="Y16" s="19" t="n"/>
      <c r="Z16" s="7" t="n"/>
    </row>
    <row r="17" ht="16.5" customHeight="1">
      <c r="A17" s="7" t="n"/>
      <c r="B17" s="20" t="n"/>
      <c r="C17" s="21" t="n"/>
      <c r="D17" s="21" t="n"/>
      <c r="E17" s="21" t="n"/>
      <c r="F17" s="21" t="n"/>
      <c r="G17" s="21" t="n"/>
      <c r="H17" s="21" t="n"/>
      <c r="I17" s="21" t="n"/>
      <c r="J17" s="22" t="n"/>
      <c r="K17" s="20" t="n"/>
      <c r="L17" s="21" t="n"/>
      <c r="M17" s="21" t="n"/>
      <c r="N17" s="21" t="n"/>
      <c r="O17" s="21" t="n"/>
      <c r="P17" s="22" t="n"/>
      <c r="Q17" s="26" t="inlineStr">
        <is>
          <t>Funding Ask</t>
        </is>
      </c>
      <c r="T17" s="27" t="inlineStr">
        <is>
          <t>Post Valuation</t>
        </is>
      </c>
      <c r="W17" s="28" t="inlineStr">
        <is>
          <t>Stake</t>
        </is>
      </c>
      <c r="Y17" s="12" t="n"/>
      <c r="Z17" s="7" t="n"/>
    </row>
    <row r="18" ht="16.5" customHeight="1">
      <c r="A18" s="7" t="n"/>
      <c r="B18" s="20" t="n"/>
      <c r="C18" s="21" t="n"/>
      <c r="D18" s="21" t="n"/>
      <c r="E18" s="21" t="n"/>
      <c r="F18" s="21" t="n"/>
      <c r="G18" s="21" t="n"/>
      <c r="H18" s="21" t="n"/>
      <c r="I18" s="21" t="n"/>
      <c r="J18" s="22" t="n"/>
      <c r="K18" s="20" t="n"/>
      <c r="L18" s="21" t="n"/>
      <c r="M18" s="21" t="n"/>
      <c r="N18" s="21" t="n"/>
      <c r="O18" s="21" t="n"/>
      <c r="P18" s="22" t="n"/>
      <c r="Q18" s="29" t="inlineStr">
        <is>
          <t>₹50 Cr</t>
        </is>
      </c>
      <c r="T18" s="30" t="inlineStr">
        <is>
          <t>₹300 Cr</t>
        </is>
      </c>
      <c r="W18" s="31" t="inlineStr">
        <is>
          <t>16.7%</t>
        </is>
      </c>
      <c r="Y18" s="12" t="n"/>
      <c r="Z18" s="7" t="n"/>
    </row>
    <row r="19" ht="16.5" customHeight="1">
      <c r="A19" s="7" t="n"/>
      <c r="B19" s="20" t="n"/>
      <c r="C19" s="21" t="n"/>
      <c r="D19" s="21" t="n"/>
      <c r="E19" s="21" t="n"/>
      <c r="F19" s="21" t="n"/>
      <c r="G19" s="21" t="n"/>
      <c r="H19" s="21" t="n"/>
      <c r="I19" s="21" t="n"/>
      <c r="J19" s="22" t="n"/>
      <c r="K19" s="20" t="n"/>
      <c r="L19" s="21" t="n"/>
      <c r="M19" s="21" t="n"/>
      <c r="N19" s="21" t="n"/>
      <c r="O19" s="21" t="n"/>
      <c r="P19" s="22" t="n"/>
      <c r="Q19" s="32" t="inlineStr">
        <is>
          <t>Seed MOIC</t>
        </is>
      </c>
      <c r="U19" s="33" t="inlineStr">
        <is>
          <t>24.2x</t>
        </is>
      </c>
      <c r="Y19" s="12" t="n"/>
      <c r="Z19" s="7" t="n"/>
    </row>
    <row r="20" ht="16.5" customHeight="1">
      <c r="A20" s="7" t="n"/>
      <c r="B20" s="20" t="n"/>
      <c r="C20" s="21" t="n"/>
      <c r="D20" s="21" t="n"/>
      <c r="E20" s="21" t="n"/>
      <c r="F20" s="21" t="n"/>
      <c r="G20" s="21" t="n"/>
      <c r="H20" s="21" t="n"/>
      <c r="I20" s="21" t="n"/>
      <c r="J20" s="22" t="n"/>
      <c r="K20" s="20" t="n"/>
      <c r="L20" s="21" t="n"/>
      <c r="M20" s="21" t="n"/>
      <c r="N20" s="21" t="n"/>
      <c r="O20" s="21" t="n"/>
      <c r="P20" s="22" t="n"/>
      <c r="Q20" s="34" t="inlineStr">
        <is>
          <t>Series A MOIC</t>
        </is>
      </c>
      <c r="U20" s="35" t="inlineStr">
        <is>
          <t>4.5x</t>
        </is>
      </c>
      <c r="Y20" s="12" t="n"/>
      <c r="Z20" s="7" t="n"/>
    </row>
    <row r="21" ht="16.5" customHeight="1">
      <c r="A21" s="7" t="n"/>
      <c r="B21" s="20" t="n"/>
      <c r="C21" s="21" t="n"/>
      <c r="D21" s="21" t="n"/>
      <c r="E21" s="21" t="n"/>
      <c r="F21" s="21" t="n"/>
      <c r="G21" s="21" t="n"/>
      <c r="H21" s="21" t="n"/>
      <c r="I21" s="21" t="n"/>
      <c r="J21" s="22" t="n"/>
      <c r="K21" s="20" t="n"/>
      <c r="L21" s="21" t="n"/>
      <c r="M21" s="21" t="n"/>
      <c r="N21" s="21" t="n"/>
      <c r="O21" s="21" t="n"/>
      <c r="P21" s="22" t="n"/>
      <c r="Q21" s="32" t="inlineStr">
        <is>
          <t>Series B MOIC</t>
        </is>
      </c>
      <c r="U21" s="33" t="inlineStr">
        <is>
          <t>2.3x</t>
        </is>
      </c>
      <c r="Y21" s="12" t="n"/>
      <c r="Z21" s="7" t="n"/>
    </row>
    <row r="22" ht="16.5" customHeight="1">
      <c r="A22" s="7" t="n"/>
      <c r="B22" s="23" t="n"/>
      <c r="C22" s="24" t="n"/>
      <c r="D22" s="24" t="n"/>
      <c r="E22" s="24" t="n"/>
      <c r="F22" s="24" t="n"/>
      <c r="G22" s="24" t="n"/>
      <c r="H22" s="24" t="n"/>
      <c r="I22" s="24" t="n"/>
      <c r="J22" s="25" t="n"/>
      <c r="K22" s="23" t="n"/>
      <c r="L22" s="24" t="n"/>
      <c r="M22" s="24" t="n"/>
      <c r="N22" s="24" t="n"/>
      <c r="O22" s="24" t="n"/>
      <c r="P22" s="25" t="n"/>
      <c r="Q22" s="36" t="inlineStr">
        <is>
          <t>Blended IRR</t>
        </is>
      </c>
      <c r="R22" s="14" t="n"/>
      <c r="S22" s="14" t="n"/>
      <c r="T22" s="14" t="n"/>
      <c r="U22" s="37" t="inlineStr">
        <is>
          <t>68%</t>
        </is>
      </c>
      <c r="V22" s="14" t="n"/>
      <c r="W22" s="14" t="n"/>
      <c r="X22" s="14" t="n"/>
      <c r="Y22" s="15" t="n"/>
      <c r="Z22" s="7" t="n"/>
    </row>
    <row r="23" ht="6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6.5" customHeight="1">
      <c r="A24" s="7" t="n"/>
      <c r="B24" s="17" t="inlineStr">
        <is>
          <t>Customer Funnel</t>
        </is>
      </c>
      <c r="C24" s="9" t="n"/>
      <c r="D24" s="9" t="n"/>
      <c r="E24" s="9" t="n"/>
      <c r="F24" s="18" t="n"/>
      <c r="G24" s="19" t="n"/>
      <c r="H24" s="17" t="inlineStr">
        <is>
          <t>Customer Growth by Channel</t>
        </is>
      </c>
      <c r="I24" s="9" t="n"/>
      <c r="J24" s="9" t="n"/>
      <c r="K24" s="9" t="n"/>
      <c r="L24" s="9" t="n"/>
      <c r="M24" s="18" t="n"/>
      <c r="N24" s="18" t="n"/>
      <c r="O24" s="18" t="n"/>
      <c r="P24" s="18" t="n"/>
      <c r="Q24" s="19" t="n"/>
      <c r="R24" s="17" t="inlineStr">
        <is>
          <t>Use of Funds</t>
        </is>
      </c>
      <c r="S24" s="9" t="n"/>
      <c r="T24" s="9" t="n"/>
      <c r="U24" s="9" t="n"/>
      <c r="V24" s="18" t="n"/>
      <c r="W24" s="18" t="n"/>
      <c r="X24" s="18" t="n"/>
      <c r="Y24" s="19" t="n"/>
      <c r="Z24" s="7" t="n"/>
    </row>
    <row r="25" ht="16.5" customHeight="1">
      <c r="A25" s="7" t="n"/>
      <c r="B25" s="20" t="n"/>
      <c r="C25" s="21" t="n"/>
      <c r="D25" s="21" t="n"/>
      <c r="E25" s="21" t="n"/>
      <c r="F25" s="21" t="n"/>
      <c r="G25" s="22" t="n"/>
      <c r="H25" s="20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2" t="n"/>
      <c r="R25" s="20" t="n"/>
      <c r="S25" s="21" t="n"/>
      <c r="T25" s="21" t="n"/>
      <c r="U25" s="21" t="n"/>
      <c r="V25" s="21" t="n"/>
      <c r="W25" s="21" t="n"/>
      <c r="X25" s="21" t="n"/>
      <c r="Y25" s="22" t="n"/>
      <c r="Z25" s="7" t="n"/>
    </row>
    <row r="26" ht="16.5" customHeight="1">
      <c r="A26" s="7" t="n"/>
      <c r="B26" s="20" t="n"/>
      <c r="C26" s="21" t="n"/>
      <c r="D26" s="21" t="n"/>
      <c r="E26" s="21" t="n"/>
      <c r="F26" s="21" t="n"/>
      <c r="G26" s="22" t="n"/>
      <c r="H26" s="20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2" t="n"/>
      <c r="R26" s="20" t="n"/>
      <c r="S26" s="21" t="n"/>
      <c r="T26" s="21" t="n"/>
      <c r="U26" s="21" t="n"/>
      <c r="V26" s="21" t="n"/>
      <c r="W26" s="21" t="n"/>
      <c r="X26" s="21" t="n"/>
      <c r="Y26" s="22" t="n"/>
      <c r="Z26" s="7" t="n"/>
    </row>
    <row r="27" ht="16.5" customHeight="1">
      <c r="A27" s="7" t="n"/>
      <c r="B27" s="20" t="n"/>
      <c r="C27" s="21" t="n"/>
      <c r="D27" s="21" t="n"/>
      <c r="E27" s="21" t="n"/>
      <c r="F27" s="21" t="n"/>
      <c r="G27" s="22" t="n"/>
      <c r="H27" s="20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2" t="n"/>
      <c r="R27" s="20" t="n"/>
      <c r="S27" s="21" t="n"/>
      <c r="T27" s="21" t="n"/>
      <c r="U27" s="21" t="n"/>
      <c r="V27" s="21" t="n"/>
      <c r="W27" s="21" t="n"/>
      <c r="X27" s="21" t="n"/>
      <c r="Y27" s="22" t="n"/>
      <c r="Z27" s="7" t="n"/>
    </row>
    <row r="28" ht="16.5" customHeight="1">
      <c r="A28" s="7" t="n"/>
      <c r="B28" s="20" t="n"/>
      <c r="C28" s="21" t="n"/>
      <c r="D28" s="21" t="n"/>
      <c r="E28" s="21" t="n"/>
      <c r="F28" s="21" t="n"/>
      <c r="G28" s="22" t="n"/>
      <c r="H28" s="20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2" t="n"/>
      <c r="R28" s="20" t="n"/>
      <c r="S28" s="21" t="n"/>
      <c r="T28" s="21" t="n"/>
      <c r="U28" s="21" t="n"/>
      <c r="V28" s="21" t="n"/>
      <c r="W28" s="21" t="n"/>
      <c r="X28" s="21" t="n"/>
      <c r="Y28" s="22" t="n"/>
      <c r="Z28" s="7" t="n"/>
    </row>
    <row r="29" ht="16.5" customHeight="1">
      <c r="A29" s="7" t="n"/>
      <c r="B29" s="20" t="n"/>
      <c r="C29" s="21" t="n"/>
      <c r="D29" s="21" t="n"/>
      <c r="E29" s="21" t="n"/>
      <c r="F29" s="21" t="n"/>
      <c r="G29" s="22" t="n"/>
      <c r="H29" s="20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2" t="n"/>
      <c r="R29" s="20" t="n"/>
      <c r="S29" s="21" t="n"/>
      <c r="T29" s="21" t="n"/>
      <c r="U29" s="21" t="n"/>
      <c r="V29" s="21" t="n"/>
      <c r="W29" s="21" t="n"/>
      <c r="X29" s="21" t="n"/>
      <c r="Y29" s="22" t="n"/>
      <c r="Z29" s="7" t="n"/>
    </row>
    <row r="30" ht="16.5" customHeight="1">
      <c r="A30" s="7" t="n"/>
      <c r="B30" s="20" t="n"/>
      <c r="C30" s="21" t="n"/>
      <c r="D30" s="21" t="n"/>
      <c r="E30" s="21" t="n"/>
      <c r="F30" s="21" t="n"/>
      <c r="G30" s="22" t="n"/>
      <c r="H30" s="20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2" t="n"/>
      <c r="R30" s="23" t="n"/>
      <c r="S30" s="24" t="n"/>
      <c r="T30" s="24" t="n"/>
      <c r="U30" s="24" t="n"/>
      <c r="V30" s="24" t="n"/>
      <c r="W30" s="24" t="n"/>
      <c r="X30" s="24" t="n"/>
      <c r="Y30" s="25" t="n"/>
      <c r="Z30" s="7" t="n"/>
    </row>
    <row r="31" ht="16.5" customHeight="1">
      <c r="A31" s="7" t="n"/>
      <c r="B31" s="20" t="n"/>
      <c r="C31" s="21" t="n"/>
      <c r="D31" s="21" t="n"/>
      <c r="E31" s="21" t="n"/>
      <c r="F31" s="21" t="n"/>
      <c r="G31" s="22" t="n"/>
      <c r="H31" s="20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2" t="n"/>
      <c r="R31" s="17" t="inlineStr">
        <is>
          <t>Shareholding — Y5</t>
        </is>
      </c>
      <c r="S31" s="9" t="n"/>
      <c r="T31" s="9" t="n"/>
      <c r="U31" s="9" t="n"/>
      <c r="V31" s="18" t="n"/>
      <c r="W31" s="18" t="n"/>
      <c r="X31" s="18" t="n"/>
      <c r="Y31" s="19" t="n"/>
      <c r="Z31" s="7" t="n"/>
    </row>
    <row r="32" ht="16.5" customHeight="1">
      <c r="A32" s="7" t="n"/>
      <c r="B32" s="20" t="n"/>
      <c r="C32" s="21" t="n"/>
      <c r="D32" s="21" t="n"/>
      <c r="E32" s="21" t="n"/>
      <c r="F32" s="21" t="n"/>
      <c r="G32" s="22" t="n"/>
      <c r="H32" s="20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2" t="n"/>
      <c r="R32" s="20" t="n"/>
      <c r="S32" s="21" t="n"/>
      <c r="T32" s="21" t="n"/>
      <c r="U32" s="21" t="n"/>
      <c r="V32" s="21" t="n"/>
      <c r="W32" s="21" t="n"/>
      <c r="X32" s="21" t="n"/>
      <c r="Y32" s="22" t="n"/>
      <c r="Z32" s="7" t="n"/>
    </row>
    <row r="33" ht="16.5" customHeight="1">
      <c r="A33" s="7" t="n"/>
      <c r="B33" s="20" t="n"/>
      <c r="C33" s="21" t="n"/>
      <c r="D33" s="21" t="n"/>
      <c r="E33" s="21" t="n"/>
      <c r="F33" s="21" t="n"/>
      <c r="G33" s="22" t="n"/>
      <c r="H33" s="20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2" t="n"/>
      <c r="R33" s="20" t="n"/>
      <c r="S33" s="21" t="n"/>
      <c r="T33" s="21" t="n"/>
      <c r="U33" s="21" t="n"/>
      <c r="V33" s="21" t="n"/>
      <c r="W33" s="21" t="n"/>
      <c r="X33" s="21" t="n"/>
      <c r="Y33" s="22" t="n"/>
      <c r="Z33" s="7" t="n"/>
    </row>
    <row r="34" ht="16.5" customHeight="1">
      <c r="A34" s="7" t="n"/>
      <c r="B34" s="20" t="n"/>
      <c r="C34" s="21" t="n"/>
      <c r="D34" s="21" t="n"/>
      <c r="E34" s="21" t="n"/>
      <c r="F34" s="21" t="n"/>
      <c r="G34" s="22" t="n"/>
      <c r="H34" s="20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2" t="n"/>
      <c r="R34" s="20" t="n"/>
      <c r="S34" s="21" t="n"/>
      <c r="T34" s="21" t="n"/>
      <c r="U34" s="21" t="n"/>
      <c r="V34" s="21" t="n"/>
      <c r="W34" s="21" t="n"/>
      <c r="X34" s="21" t="n"/>
      <c r="Y34" s="22" t="n"/>
      <c r="Z34" s="7" t="n"/>
    </row>
    <row r="35" ht="16.5" customHeight="1">
      <c r="A35" s="7" t="n"/>
      <c r="B35" s="20" t="n"/>
      <c r="C35" s="21" t="n"/>
      <c r="D35" s="21" t="n"/>
      <c r="E35" s="21" t="n"/>
      <c r="F35" s="21" t="n"/>
      <c r="G35" s="22" t="n"/>
      <c r="H35" s="20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2" t="n"/>
      <c r="R35" s="20" t="n"/>
      <c r="S35" s="21" t="n"/>
      <c r="T35" s="21" t="n"/>
      <c r="U35" s="21" t="n"/>
      <c r="V35" s="21" t="n"/>
      <c r="W35" s="21" t="n"/>
      <c r="X35" s="21" t="n"/>
      <c r="Y35" s="22" t="n"/>
      <c r="Z35" s="7" t="n"/>
    </row>
    <row r="36" ht="16.5" customHeight="1">
      <c r="A36" s="7" t="n"/>
      <c r="B36" s="20" t="n"/>
      <c r="C36" s="21" t="n"/>
      <c r="D36" s="21" t="n"/>
      <c r="E36" s="21" t="n"/>
      <c r="F36" s="21" t="n"/>
      <c r="G36" s="22" t="n"/>
      <c r="H36" s="20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2" t="n"/>
      <c r="R36" s="20" t="n"/>
      <c r="S36" s="21" t="n"/>
      <c r="T36" s="21" t="n"/>
      <c r="U36" s="21" t="n"/>
      <c r="V36" s="21" t="n"/>
      <c r="W36" s="21" t="n"/>
      <c r="X36" s="21" t="n"/>
      <c r="Y36" s="22" t="n"/>
      <c r="Z36" s="7" t="n"/>
    </row>
    <row r="37" ht="16.5" customHeight="1">
      <c r="A37" s="7" t="n"/>
      <c r="B37" s="20" t="n"/>
      <c r="C37" s="21" t="n"/>
      <c r="D37" s="21" t="n"/>
      <c r="E37" s="21" t="n"/>
      <c r="F37" s="21" t="n"/>
      <c r="G37" s="22" t="n"/>
      <c r="H37" s="20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2" t="n"/>
      <c r="R37" s="20" t="n"/>
      <c r="S37" s="21" t="n"/>
      <c r="T37" s="21" t="n"/>
      <c r="U37" s="21" t="n"/>
      <c r="V37" s="21" t="n"/>
      <c r="W37" s="21" t="n"/>
      <c r="X37" s="21" t="n"/>
      <c r="Y37" s="22" t="n"/>
      <c r="Z37" s="7" t="n"/>
    </row>
    <row r="38" ht="16.5" customHeight="1">
      <c r="A38" s="7" t="n"/>
      <c r="B38" s="23" t="n"/>
      <c r="C38" s="24" t="n"/>
      <c r="D38" s="24" t="n"/>
      <c r="E38" s="24" t="n"/>
      <c r="F38" s="24" t="n"/>
      <c r="G38" s="25" t="n"/>
      <c r="H38" s="23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5" t="n"/>
      <c r="R38" s="23" t="n"/>
      <c r="S38" s="24" t="n"/>
      <c r="T38" s="24" t="n"/>
      <c r="U38" s="24" t="n"/>
      <c r="V38" s="24" t="n"/>
      <c r="W38" s="24" t="n"/>
      <c r="X38" s="24" t="n"/>
      <c r="Y38" s="25" t="n"/>
      <c r="Z38" s="7" t="n"/>
    </row>
    <row r="39" ht="6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6.5" customHeight="1">
      <c r="A40" s="7" t="n"/>
      <c r="B40" s="38" t="inlineStr">
        <is>
          <t>Cash Balance</t>
        </is>
      </c>
      <c r="C40" s="39" t="n"/>
      <c r="D40" s="40" t="n"/>
      <c r="E40" s="38" t="inlineStr">
        <is>
          <t>EBITDA Margin</t>
        </is>
      </c>
      <c r="F40" s="39" t="n"/>
      <c r="G40" s="40" t="n"/>
      <c r="H40" s="38" t="inlineStr">
        <is>
          <t>Revenue CAGR</t>
        </is>
      </c>
      <c r="I40" s="39" t="n"/>
      <c r="J40" s="40" t="n"/>
      <c r="K40" s="38" t="inlineStr">
        <is>
          <t>LTV/CAC</t>
        </is>
      </c>
      <c r="L40" s="39" t="n"/>
      <c r="M40" s="40" t="n"/>
      <c r="N40" s="38" t="inlineStr">
        <is>
          <t>Payback</t>
        </is>
      </c>
      <c r="O40" s="39" t="n"/>
      <c r="P40" s="40" t="n"/>
      <c r="Q40" s="38" t="inlineStr">
        <is>
          <t>Net Margin</t>
        </is>
      </c>
      <c r="R40" s="39" t="n"/>
      <c r="S40" s="40" t="n"/>
      <c r="T40" s="38" t="inlineStr">
        <is>
          <t>Exit Val.</t>
        </is>
      </c>
      <c r="U40" s="39" t="n"/>
      <c r="V40" s="40" t="n"/>
      <c r="W40" s="38" t="inlineStr">
        <is>
          <t>Seed MOIC</t>
        </is>
      </c>
      <c r="X40" s="39" t="n"/>
      <c r="Y40" s="40" t="n"/>
      <c r="Z40" s="7" t="n"/>
    </row>
    <row r="41" ht="16.5" customHeight="1">
      <c r="A41" s="7" t="n"/>
      <c r="B41" s="41" t="inlineStr">
        <is>
          <t>₹35.8 Cr</t>
        </is>
      </c>
      <c r="D41" s="12" t="n"/>
      <c r="E41" s="41" t="inlineStr">
        <is>
          <t>18%</t>
        </is>
      </c>
      <c r="G41" s="12" t="n"/>
      <c r="H41" s="41" t="inlineStr">
        <is>
          <t>144%</t>
        </is>
      </c>
      <c r="J41" s="12" t="n"/>
      <c r="K41" s="41" t="inlineStr">
        <is>
          <t>30.2x</t>
        </is>
      </c>
      <c r="M41" s="12" t="n"/>
      <c r="N41" s="41" t="inlineStr">
        <is>
          <t>3 months</t>
        </is>
      </c>
      <c r="P41" s="12" t="n"/>
      <c r="Q41" s="41" t="inlineStr">
        <is>
          <t>28.7%</t>
        </is>
      </c>
      <c r="S41" s="12" t="n"/>
      <c r="T41" s="41" t="inlineStr">
        <is>
          <t>₹680 Cr</t>
        </is>
      </c>
      <c r="V41" s="12" t="n"/>
      <c r="W41" s="41" t="inlineStr">
        <is>
          <t>24.2x</t>
        </is>
      </c>
      <c r="Y41" s="12" t="n"/>
      <c r="Z41" s="7" t="n"/>
    </row>
    <row r="42" ht="16.5" customHeight="1">
      <c r="A42" s="7" t="n"/>
      <c r="B42" s="42" t="n"/>
      <c r="C42" s="14" t="n"/>
      <c r="D42" s="15" t="n"/>
      <c r="E42" s="42" t="n"/>
      <c r="F42" s="14" t="n"/>
      <c r="G42" s="15" t="n"/>
      <c r="H42" s="42" t="n"/>
      <c r="I42" s="14" t="n"/>
      <c r="J42" s="15" t="n"/>
      <c r="K42" s="42" t="n"/>
      <c r="L42" s="14" t="n"/>
      <c r="M42" s="15" t="n"/>
      <c r="N42" s="42" t="n"/>
      <c r="O42" s="14" t="n"/>
      <c r="P42" s="15" t="n"/>
      <c r="Q42" s="42" t="n"/>
      <c r="R42" s="14" t="n"/>
      <c r="S42" s="15" t="n"/>
      <c r="T42" s="42" t="n"/>
      <c r="U42" s="14" t="n"/>
      <c r="V42" s="15" t="n"/>
      <c r="W42" s="42" t="n"/>
      <c r="X42" s="14" t="n"/>
      <c r="Y42" s="15" t="n"/>
      <c r="Z42" s="7" t="n"/>
    </row>
    <row r="43" ht="16.5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6.5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6.5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6.5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6.5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6.5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6.5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6.5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6.5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6.5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6.5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6.5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6.5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</sheetData>
  <mergeCells count="67">
    <mergeCell ref="U22:Y22"/>
    <mergeCell ref="Q5:S5"/>
    <mergeCell ref="Q16:U16"/>
    <mergeCell ref="E41:G42"/>
    <mergeCell ref="W1:Y1"/>
    <mergeCell ref="K40:M40"/>
    <mergeCell ref="Q4:S4"/>
    <mergeCell ref="N5:P5"/>
    <mergeCell ref="E40:G40"/>
    <mergeCell ref="Q40:S40"/>
    <mergeCell ref="B24:E24"/>
    <mergeCell ref="Q41:S42"/>
    <mergeCell ref="E6:G6"/>
    <mergeCell ref="Q6:S6"/>
    <mergeCell ref="T40:V40"/>
    <mergeCell ref="Q8:U8"/>
    <mergeCell ref="E2:G2"/>
    <mergeCell ref="B41:D42"/>
    <mergeCell ref="B40:D40"/>
    <mergeCell ref="Q21:T21"/>
    <mergeCell ref="T17:V17"/>
    <mergeCell ref="W18:Y18"/>
    <mergeCell ref="N40:P40"/>
    <mergeCell ref="Q17:S17"/>
    <mergeCell ref="W17:Y17"/>
    <mergeCell ref="B6:D6"/>
    <mergeCell ref="N6:P6"/>
    <mergeCell ref="T6:V6"/>
    <mergeCell ref="W2:Y2"/>
    <mergeCell ref="H41:J42"/>
    <mergeCell ref="N41:P42"/>
    <mergeCell ref="B5:D5"/>
    <mergeCell ref="K41:M42"/>
    <mergeCell ref="R31:U31"/>
    <mergeCell ref="K4:M4"/>
    <mergeCell ref="K6:M6"/>
    <mergeCell ref="H5:J5"/>
    <mergeCell ref="U21:Y21"/>
    <mergeCell ref="B4:D4"/>
    <mergeCell ref="T18:V18"/>
    <mergeCell ref="W4:Y4"/>
    <mergeCell ref="N4:P4"/>
    <mergeCell ref="Q20:T20"/>
    <mergeCell ref="R24:U24"/>
    <mergeCell ref="W40:Y40"/>
    <mergeCell ref="W41:Y42"/>
    <mergeCell ref="Q19:T19"/>
    <mergeCell ref="W6:Y6"/>
    <mergeCell ref="B8:E8"/>
    <mergeCell ref="B1:D2"/>
    <mergeCell ref="T5:V5"/>
    <mergeCell ref="E5:G5"/>
    <mergeCell ref="K5:M5"/>
    <mergeCell ref="U20:Y20"/>
    <mergeCell ref="W5:Y5"/>
    <mergeCell ref="Q18:S18"/>
    <mergeCell ref="H4:J4"/>
    <mergeCell ref="H24:L24"/>
    <mergeCell ref="T4:V4"/>
    <mergeCell ref="T41:V42"/>
    <mergeCell ref="E4:G4"/>
    <mergeCell ref="K8:N8"/>
    <mergeCell ref="U19:Y19"/>
    <mergeCell ref="Q22:T22"/>
    <mergeCell ref="H40:J40"/>
    <mergeCell ref="E1:G1"/>
    <mergeCell ref="H6:J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B3A5C"/>
    <outlinePr summaryBelow="1" summaryRight="1"/>
    <pageSetUpPr/>
  </sheetPr>
  <dimension ref="A1:G5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>
      <c r="A1" s="43" t="inlineStr">
        <is>
          <t>RUBAN — Model Assumptions</t>
        </is>
      </c>
      <c r="B1" s="1" t="n"/>
      <c r="C1" s="1" t="n"/>
      <c r="D1" s="1" t="n"/>
      <c r="E1" s="1" t="n"/>
      <c r="F1" s="1" t="n"/>
      <c r="G1" s="1" t="n"/>
    </row>
    <row r="2">
      <c r="A2" s="44" t="inlineStr"/>
      <c r="B2" s="44" t="inlineStr">
        <is>
          <t>Year 1</t>
        </is>
      </c>
      <c r="C2" s="44" t="inlineStr">
        <is>
          <t>Year 2</t>
        </is>
      </c>
      <c r="D2" s="44" t="inlineStr">
        <is>
          <t>Year 3</t>
        </is>
      </c>
      <c r="E2" s="44" t="inlineStr">
        <is>
          <t>Year 4</t>
        </is>
      </c>
      <c r="F2" s="44" t="inlineStr">
        <is>
          <t>Year 5</t>
        </is>
      </c>
      <c r="G2" s="45" t="inlineStr">
        <is>
          <t>Notes</t>
        </is>
      </c>
    </row>
    <row r="3">
      <c r="A3" s="46" t="inlineStr">
        <is>
          <t>Revenue Drivers</t>
        </is>
      </c>
      <c r="B3" s="47" t="n"/>
      <c r="C3" s="47" t="n"/>
      <c r="D3" s="47" t="n"/>
      <c r="E3" s="47" t="n"/>
      <c r="F3" s="47" t="n"/>
      <c r="G3" s="47" t="n"/>
    </row>
    <row r="4">
      <c r="A4" s="48" t="inlineStr">
        <is>
          <t>Website — Active Customers</t>
        </is>
      </c>
      <c r="B4" s="49" t="n">
        <v>1800</v>
      </c>
      <c r="C4" s="49" t="n">
        <v>5500</v>
      </c>
      <c r="D4" s="49" t="n">
        <v>14000</v>
      </c>
      <c r="E4" s="49" t="n">
        <v>25200</v>
      </c>
      <c r="F4" s="49" t="n">
        <v>39600</v>
      </c>
      <c r="G4" s="50" t="inlineStr">
        <is>
          <t>Cumulative</t>
        </is>
      </c>
    </row>
    <row r="5">
      <c r="A5" s="48" t="inlineStr">
        <is>
          <t>Retail — Active Customers</t>
        </is>
      </c>
      <c r="B5" s="49" t="n">
        <v>0</v>
      </c>
      <c r="C5" s="49" t="n">
        <v>2000</v>
      </c>
      <c r="D5" s="49" t="n">
        <v>7000</v>
      </c>
      <c r="E5" s="49" t="n">
        <v>18000</v>
      </c>
      <c r="F5" s="49" t="n">
        <v>33600</v>
      </c>
      <c r="G5" s="50" t="inlineStr">
        <is>
          <t>Opens Y2</t>
        </is>
      </c>
    </row>
    <row r="6">
      <c r="A6" s="48" t="inlineStr">
        <is>
          <t>Marketplace — Active Customers</t>
        </is>
      </c>
      <c r="B6" s="49" t="n">
        <v>1400</v>
      </c>
      <c r="C6" s="49" t="n">
        <v>5000</v>
      </c>
      <c r="D6" s="49" t="n">
        <v>14000</v>
      </c>
      <c r="E6" s="49" t="n">
        <v>28800</v>
      </c>
      <c r="F6" s="49" t="n">
        <v>46800</v>
      </c>
      <c r="G6" s="50" t="inlineStr"/>
    </row>
    <row r="7">
      <c r="A7" s="51" t="inlineStr">
        <is>
          <t>Total Active Customers</t>
        </is>
      </c>
      <c r="B7" s="52">
        <f>SUM(B4:B6)</f>
        <v/>
      </c>
      <c r="C7" s="52">
        <f>SUM(C4:C6)</f>
        <v/>
      </c>
      <c r="D7" s="52">
        <f>SUM(D4:D6)</f>
        <v/>
      </c>
      <c r="E7" s="52">
        <f>SUM(E4:E6)</f>
        <v/>
      </c>
      <c r="F7" s="52">
        <f>SUM(F4:F6)</f>
        <v/>
      </c>
      <c r="G7" s="50">
        <f>Sum of channels</f>
        <v/>
      </c>
    </row>
    <row r="9">
      <c r="A9" s="48" t="inlineStr">
        <is>
          <t>Website — New Customers</t>
        </is>
      </c>
      <c r="B9" s="49" t="n">
        <v>1800</v>
      </c>
      <c r="C9" s="49" t="n">
        <v>4500</v>
      </c>
      <c r="D9" s="49" t="n">
        <v>10500</v>
      </c>
      <c r="E9" s="49" t="n">
        <v>15400</v>
      </c>
      <c r="F9" s="49" t="n">
        <v>21600</v>
      </c>
    </row>
    <row r="10">
      <c r="A10" s="48" t="inlineStr">
        <is>
          <t>Retail — New Customers</t>
        </is>
      </c>
      <c r="B10" s="49" t="n">
        <v>0</v>
      </c>
      <c r="C10" s="49" t="n">
        <v>2000</v>
      </c>
      <c r="D10" s="49" t="n">
        <v>6000</v>
      </c>
      <c r="E10" s="49" t="n">
        <v>14000</v>
      </c>
      <c r="F10" s="49" t="n">
        <v>21600</v>
      </c>
    </row>
    <row r="11">
      <c r="A11" s="48" t="inlineStr">
        <is>
          <t>Marketplace — New Customers</t>
        </is>
      </c>
      <c r="B11" s="49" t="n">
        <v>1400</v>
      </c>
      <c r="C11" s="49" t="n">
        <v>4200</v>
      </c>
      <c r="D11" s="49" t="n">
        <v>11000</v>
      </c>
      <c r="E11" s="49" t="n">
        <v>19800</v>
      </c>
      <c r="F11" s="49" t="n">
        <v>28800</v>
      </c>
    </row>
    <row r="13">
      <c r="A13" s="48" t="inlineStr">
        <is>
          <t>Website — AOV (₹)</t>
        </is>
      </c>
      <c r="B13" s="53" t="n">
        <v>3000</v>
      </c>
      <c r="C13" s="53" t="n">
        <v>3300</v>
      </c>
      <c r="D13" s="53" t="n">
        <v>3600</v>
      </c>
      <c r="E13" s="53" t="n">
        <v>3800</v>
      </c>
      <c r="F13" s="53" t="n">
        <v>4000</v>
      </c>
    </row>
    <row r="14">
      <c r="A14" s="48" t="inlineStr">
        <is>
          <t>Retail — AOV (₹)</t>
        </is>
      </c>
      <c r="B14" s="53" t="n">
        <v>0</v>
      </c>
      <c r="C14" s="53" t="n">
        <v>3800</v>
      </c>
      <c r="D14" s="53" t="n">
        <v>4200</v>
      </c>
      <c r="E14" s="53" t="n">
        <v>4500</v>
      </c>
      <c r="F14" s="53" t="n">
        <v>4800</v>
      </c>
    </row>
    <row r="15">
      <c r="A15" s="48" t="inlineStr">
        <is>
          <t>Marketplace — AOV (₹)</t>
        </is>
      </c>
      <c r="B15" s="53" t="n">
        <v>2500</v>
      </c>
      <c r="C15" s="53" t="n">
        <v>2800</v>
      </c>
      <c r="D15" s="53" t="n">
        <v>3000</v>
      </c>
      <c r="E15" s="53" t="n">
        <v>3200</v>
      </c>
      <c r="F15" s="53" t="n">
        <v>3400</v>
      </c>
    </row>
    <row r="16">
      <c r="A16" s="48" t="inlineStr">
        <is>
          <t>Blended AOV (₹)</t>
        </is>
      </c>
      <c r="B16" s="53" t="n">
        <v>2800</v>
      </c>
      <c r="C16" s="53" t="n">
        <v>3100</v>
      </c>
      <c r="D16" s="53" t="n">
        <v>3400</v>
      </c>
      <c r="E16" s="53" t="n">
        <v>3600</v>
      </c>
      <c r="F16" s="53" t="n">
        <v>3800</v>
      </c>
      <c r="G16" s="50" t="inlineStr">
        <is>
          <t>Weighted average</t>
        </is>
      </c>
    </row>
    <row r="18">
      <c r="A18" s="48" t="inlineStr">
        <is>
          <t>Website — Orders/Cust/Year</t>
        </is>
      </c>
      <c r="B18" s="54" t="n">
        <v>1.8</v>
      </c>
      <c r="C18" s="54" t="n">
        <v>2</v>
      </c>
      <c r="D18" s="54" t="n">
        <v>2.2</v>
      </c>
      <c r="E18" s="54" t="n">
        <v>2.4</v>
      </c>
      <c r="F18" s="54" t="n">
        <v>2.5</v>
      </c>
    </row>
    <row r="19">
      <c r="A19" s="48" t="inlineStr">
        <is>
          <t>Retail — Orders/Cust/Year</t>
        </is>
      </c>
      <c r="B19" s="54" t="n">
        <v>0</v>
      </c>
      <c r="C19" s="54" t="n">
        <v>1.5</v>
      </c>
      <c r="D19" s="54" t="n">
        <v>1.8</v>
      </c>
      <c r="E19" s="54" t="n">
        <v>2</v>
      </c>
      <c r="F19" s="54" t="n">
        <v>2.2</v>
      </c>
    </row>
    <row r="20">
      <c r="A20" s="48" t="inlineStr">
        <is>
          <t>Marketplace — Orders/Cust/Year</t>
        </is>
      </c>
      <c r="B20" s="54" t="n">
        <v>1.5</v>
      </c>
      <c r="C20" s="54" t="n">
        <v>1.8</v>
      </c>
      <c r="D20" s="54" t="n">
        <v>2</v>
      </c>
      <c r="E20" s="54" t="n">
        <v>2.2</v>
      </c>
      <c r="F20" s="54" t="n">
        <v>2.3</v>
      </c>
    </row>
    <row r="22">
      <c r="A22" s="46" t="inlineStr">
        <is>
          <t>Cost Structure</t>
        </is>
      </c>
      <c r="B22" s="47" t="n"/>
      <c r="C22" s="47" t="n"/>
      <c r="D22" s="47" t="n"/>
      <c r="E22" s="47" t="n"/>
      <c r="F22" s="47" t="n"/>
      <c r="G22" s="47" t="n"/>
    </row>
    <row r="23">
      <c r="A23" s="48" t="inlineStr">
        <is>
          <t>Website — COGS %</t>
        </is>
      </c>
      <c r="B23" s="55" t="n">
        <v>0.48</v>
      </c>
      <c r="C23" s="55" t="n">
        <v>0.46</v>
      </c>
      <c r="D23" s="55" t="n">
        <v>0.44</v>
      </c>
      <c r="E23" s="55" t="n">
        <v>0.43</v>
      </c>
      <c r="F23" s="55" t="n">
        <v>0.42</v>
      </c>
    </row>
    <row r="24">
      <c r="A24" s="48" t="inlineStr">
        <is>
          <t>Retail — COGS %</t>
        </is>
      </c>
      <c r="B24" s="55" t="n">
        <v>0</v>
      </c>
      <c r="C24" s="55" t="n">
        <v>0.5</v>
      </c>
      <c r="D24" s="55" t="n">
        <v>0.47</v>
      </c>
      <c r="E24" s="55" t="n">
        <v>0.45</v>
      </c>
      <c r="F24" s="55" t="n">
        <v>0.43</v>
      </c>
    </row>
    <row r="25">
      <c r="A25" s="48" t="inlineStr">
        <is>
          <t>Marketplace — COGS %</t>
        </is>
      </c>
      <c r="B25" s="55" t="n">
        <v>0.48</v>
      </c>
      <c r="C25" s="55" t="n">
        <v>0.46</v>
      </c>
      <c r="D25" s="55" t="n">
        <v>0.44</v>
      </c>
      <c r="E25" s="55" t="n">
        <v>0.43</v>
      </c>
      <c r="F25" s="55" t="n">
        <v>0.42</v>
      </c>
    </row>
    <row r="26">
      <c r="A26" s="48" t="inlineStr">
        <is>
          <t>Gross Margin % (Blended)</t>
        </is>
      </c>
      <c r="B26" s="55" t="n">
        <v>0.52</v>
      </c>
      <c r="C26" s="55" t="n">
        <v>0.54</v>
      </c>
      <c r="D26" s="55" t="n">
        <v>0.5600000000000001</v>
      </c>
      <c r="E26" s="55" t="n">
        <v>0.57</v>
      </c>
      <c r="F26" s="55" t="n">
        <v>0.58</v>
      </c>
      <c r="G26" s="50" t="inlineStr">
        <is>
          <t>Target</t>
        </is>
      </c>
    </row>
    <row r="28">
      <c r="A28" s="48" t="inlineStr">
        <is>
          <t>Return Rate — Website</t>
        </is>
      </c>
      <c r="B28" s="55" t="n">
        <v>0.08</v>
      </c>
      <c r="C28" s="55" t="n">
        <v>0.08</v>
      </c>
      <c r="D28" s="55" t="n">
        <v>0.07000000000000001</v>
      </c>
      <c r="E28" s="55" t="n">
        <v>0.07000000000000001</v>
      </c>
      <c r="F28" s="55" t="n">
        <v>0.06</v>
      </c>
    </row>
    <row r="29">
      <c r="A29" s="48" t="inlineStr">
        <is>
          <t>Return Rate — Retail</t>
        </is>
      </c>
      <c r="B29" s="55" t="n">
        <v>0</v>
      </c>
      <c r="C29" s="55" t="n">
        <v>0.03</v>
      </c>
      <c r="D29" s="55" t="n">
        <v>0.03</v>
      </c>
      <c r="E29" s="55" t="n">
        <v>0.03</v>
      </c>
      <c r="F29" s="55" t="n">
        <v>0.03</v>
      </c>
    </row>
    <row r="30">
      <c r="A30" s="48" t="inlineStr">
        <is>
          <t>Return Rate — Marketplace</t>
        </is>
      </c>
      <c r="B30" s="55" t="n">
        <v>0.1</v>
      </c>
      <c r="C30" s="55" t="n">
        <v>0.1</v>
      </c>
      <c r="D30" s="55" t="n">
        <v>0.09</v>
      </c>
      <c r="E30" s="55" t="n">
        <v>0.09</v>
      </c>
      <c r="F30" s="55" t="n">
        <v>0.08</v>
      </c>
    </row>
    <row r="31">
      <c r="A31" s="48" t="inlineStr">
        <is>
          <t>Marketplace Commission %</t>
        </is>
      </c>
      <c r="B31" s="55" t="n">
        <v>0.15</v>
      </c>
      <c r="C31" s="55" t="n">
        <v>0.14</v>
      </c>
      <c r="D31" s="55" t="n">
        <v>0.13</v>
      </c>
      <c r="E31" s="55" t="n">
        <v>0.12</v>
      </c>
      <c r="F31" s="55" t="n">
        <v>0.11</v>
      </c>
    </row>
    <row r="33">
      <c r="A33" s="46" t="inlineStr">
        <is>
          <t>Operating Expenses (₹ Cr)</t>
        </is>
      </c>
      <c r="B33" s="47" t="n"/>
      <c r="C33" s="47" t="n"/>
      <c r="D33" s="47" t="n"/>
      <c r="E33" s="47" t="n"/>
      <c r="F33" s="47" t="n"/>
      <c r="G33" s="47" t="n"/>
    </row>
    <row r="34">
      <c r="A34" s="48" t="inlineStr">
        <is>
          <t>Marketing &amp; Advertising</t>
        </is>
      </c>
      <c r="B34" s="56" t="n">
        <v>0.96</v>
      </c>
      <c r="C34" s="56" t="n">
        <v>2.13</v>
      </c>
      <c r="D34" s="56" t="n">
        <v>3.52</v>
      </c>
      <c r="E34" s="56" t="n">
        <v>5.28</v>
      </c>
      <c r="F34" s="56" t="n">
        <v>7.65</v>
      </c>
    </row>
    <row r="35">
      <c r="A35" s="48" t="inlineStr">
        <is>
          <t>Employee Costs</t>
        </is>
      </c>
      <c r="B35" s="56" t="n">
        <v>0.55</v>
      </c>
      <c r="C35" s="56" t="n">
        <v>1.2</v>
      </c>
      <c r="D35" s="56" t="n">
        <v>2.2</v>
      </c>
      <c r="E35" s="56" t="n">
        <v>3.84</v>
      </c>
      <c r="F35" s="56" t="n">
        <v>5.95</v>
      </c>
    </row>
    <row r="36">
      <c r="A36" s="48" t="inlineStr">
        <is>
          <t>Technology &amp; Platform</t>
        </is>
      </c>
      <c r="B36" s="56" t="n">
        <v>0.24</v>
      </c>
      <c r="C36" s="56" t="n">
        <v>0.43</v>
      </c>
      <c r="D36" s="56" t="n">
        <v>0.66</v>
      </c>
      <c r="E36" s="56" t="n">
        <v>0.96</v>
      </c>
      <c r="F36" s="56" t="n">
        <v>1.28</v>
      </c>
    </row>
    <row r="37">
      <c r="A37" s="48" t="inlineStr">
        <is>
          <t>Rent &amp; Utilities</t>
        </is>
      </c>
      <c r="B37" s="56" t="n">
        <v>0</v>
      </c>
      <c r="C37" s="56" t="n">
        <v>0.36</v>
      </c>
      <c r="D37" s="56" t="n">
        <v>0.88</v>
      </c>
      <c r="E37" s="56" t="n">
        <v>1.44</v>
      </c>
      <c r="F37" s="56" t="n">
        <v>1.87</v>
      </c>
    </row>
    <row r="38">
      <c r="A38" s="48" t="inlineStr">
        <is>
          <t>Logistics &amp; Fulfillment</t>
        </is>
      </c>
      <c r="B38" s="56" t="n">
        <v>0.19</v>
      </c>
      <c r="C38" s="56" t="n">
        <v>0.6</v>
      </c>
      <c r="D38" s="56" t="n">
        <v>1.32</v>
      </c>
      <c r="E38" s="56" t="n">
        <v>2.4</v>
      </c>
      <c r="F38" s="56" t="n">
        <v>3.83</v>
      </c>
    </row>
    <row r="39">
      <c r="A39" s="48" t="inlineStr">
        <is>
          <t>Other G&amp;A</t>
        </is>
      </c>
      <c r="B39" s="56" t="n">
        <v>0.14</v>
      </c>
      <c r="C39" s="56" t="n">
        <v>0.34</v>
      </c>
      <c r="D39" s="56" t="n">
        <v>0.66</v>
      </c>
      <c r="E39" s="56" t="n">
        <v>0.96</v>
      </c>
      <c r="F39" s="56" t="n">
        <v>1.19</v>
      </c>
    </row>
    <row r="40">
      <c r="A40" s="51" t="inlineStr">
        <is>
          <t>Total OPEX</t>
        </is>
      </c>
      <c r="B40" s="57">
        <f>SUM(B34:B39)</f>
        <v/>
      </c>
      <c r="C40" s="57">
        <f>SUM(C34:C39)</f>
        <v/>
      </c>
      <c r="D40" s="57">
        <f>SUM(D34:D39)</f>
        <v/>
      </c>
      <c r="E40" s="57">
        <f>SUM(E34:E39)</f>
        <v/>
      </c>
      <c r="F40" s="57">
        <f>SUM(F34:F39)</f>
        <v/>
      </c>
    </row>
    <row r="42">
      <c r="A42" s="46" t="inlineStr">
        <is>
          <t>Working Capital Assumptions (Days)</t>
        </is>
      </c>
      <c r="B42" s="47" t="n"/>
      <c r="C42" s="47" t="n"/>
      <c r="D42" s="47" t="n"/>
      <c r="E42" s="47" t="n"/>
      <c r="F42" s="47" t="n"/>
      <c r="G42" s="47" t="n"/>
    </row>
    <row r="43">
      <c r="A43" s="48" t="inlineStr">
        <is>
          <t>Inventory Days</t>
        </is>
      </c>
      <c r="B43" s="49" t="n">
        <v>30</v>
      </c>
      <c r="C43" s="49" t="n">
        <v>35</v>
      </c>
      <c r="D43" s="49" t="n">
        <v>35</v>
      </c>
      <c r="E43" s="49" t="n">
        <v>35</v>
      </c>
      <c r="F43" s="49" t="n">
        <v>35</v>
      </c>
    </row>
    <row r="44">
      <c r="A44" s="48" t="inlineStr">
        <is>
          <t>Receivable Days</t>
        </is>
      </c>
      <c r="B44" s="49" t="n">
        <v>20</v>
      </c>
      <c r="C44" s="49" t="n">
        <v>25</v>
      </c>
      <c r="D44" s="49" t="n">
        <v>28</v>
      </c>
      <c r="E44" s="49" t="n">
        <v>28</v>
      </c>
      <c r="F44" s="49" t="n">
        <v>28</v>
      </c>
    </row>
    <row r="45">
      <c r="A45" s="48" t="inlineStr">
        <is>
          <t>Payable Days</t>
        </is>
      </c>
      <c r="B45" s="49" t="n">
        <v>25</v>
      </c>
      <c r="C45" s="49" t="n">
        <v>25</v>
      </c>
      <c r="D45" s="49" t="n">
        <v>25</v>
      </c>
      <c r="E45" s="49" t="n">
        <v>25</v>
      </c>
      <c r="F45" s="49" t="n">
        <v>25</v>
      </c>
    </row>
    <row r="47">
      <c r="A47" s="46" t="inlineStr">
        <is>
          <t>Below EBITDA (₹ Cr)</t>
        </is>
      </c>
      <c r="B47" s="47" t="n"/>
      <c r="C47" s="47" t="n"/>
      <c r="D47" s="47" t="n"/>
      <c r="E47" s="47" t="n"/>
      <c r="F47" s="47" t="n"/>
      <c r="G47" s="47" t="n"/>
    </row>
    <row r="48">
      <c r="A48" s="48" t="inlineStr">
        <is>
          <t>Depreciation &amp; Amortization</t>
        </is>
      </c>
      <c r="B48" s="56" t="n">
        <v>0.05</v>
      </c>
      <c r="C48" s="56" t="n">
        <v>0.15</v>
      </c>
      <c r="D48" s="56" t="n">
        <v>0.35</v>
      </c>
      <c r="E48" s="56" t="n">
        <v>0.6</v>
      </c>
      <c r="F48" s="56" t="n">
        <v>0.85</v>
      </c>
    </row>
    <row r="49">
      <c r="A49" s="48" t="inlineStr">
        <is>
          <t>Interest Expense</t>
        </is>
      </c>
      <c r="B49" s="56" t="n">
        <v>0</v>
      </c>
      <c r="C49" s="56" t="n">
        <v>0.05</v>
      </c>
      <c r="D49" s="56" t="n">
        <v>0.08</v>
      </c>
      <c r="E49" s="56" t="n">
        <v>0.06</v>
      </c>
      <c r="F49" s="56" t="n">
        <v>0.03</v>
      </c>
    </row>
    <row r="50">
      <c r="A50" s="48" t="inlineStr">
        <is>
          <t>Tax Provision</t>
        </is>
      </c>
      <c r="B50" s="56" t="n">
        <v>0</v>
      </c>
      <c r="C50" s="56" t="n">
        <v>0</v>
      </c>
      <c r="D50" s="56" t="n">
        <v>0</v>
      </c>
      <c r="E50" s="56" t="n">
        <v>0.72</v>
      </c>
      <c r="F50" s="56" t="n">
        <v>2.28</v>
      </c>
    </row>
  </sheetData>
  <mergeCells count="6">
    <mergeCell ref="A1:G1"/>
    <mergeCell ref="A3:G3"/>
    <mergeCell ref="A22:G22"/>
    <mergeCell ref="A33:G33"/>
    <mergeCell ref="A47:G47"/>
    <mergeCell ref="A42:G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E8E"/>
    <outlinePr summaryBelow="1" summaryRight="1"/>
    <pageSetUpPr/>
  </sheetPr>
  <dimension ref="A1:G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3" t="inlineStr">
        <is>
          <t>RUBAN — Revenue Build-up (₹ Cr)</t>
        </is>
      </c>
      <c r="B1" s="1" t="n"/>
      <c r="C1" s="1" t="n"/>
      <c r="D1" s="1" t="n"/>
      <c r="E1" s="1" t="n"/>
      <c r="F1" s="1" t="n"/>
      <c r="G1" s="1" t="n"/>
    </row>
    <row r="2">
      <c r="A2" s="44" t="inlineStr"/>
      <c r="B2" s="44" t="inlineStr">
        <is>
          <t>Year 1</t>
        </is>
      </c>
      <c r="C2" s="44" t="inlineStr">
        <is>
          <t>Year 2</t>
        </is>
      </c>
      <c r="D2" s="44" t="inlineStr">
        <is>
          <t>Year 3</t>
        </is>
      </c>
      <c r="E2" s="44" t="inlineStr">
        <is>
          <t>Year 4</t>
        </is>
      </c>
      <c r="F2" s="44" t="inlineStr">
        <is>
          <t>Year 5</t>
        </is>
      </c>
      <c r="G2" s="45" t="inlineStr">
        <is>
          <t>CAGR</t>
        </is>
      </c>
    </row>
    <row r="3">
      <c r="A3" s="46" t="inlineStr">
        <is>
          <t>Channel: Website</t>
        </is>
      </c>
      <c r="B3" s="47" t="n"/>
      <c r="C3" s="47" t="n"/>
      <c r="D3" s="47" t="n"/>
      <c r="E3" s="47" t="n"/>
      <c r="F3" s="47" t="n"/>
      <c r="G3" s="47" t="n"/>
    </row>
    <row r="4">
      <c r="A4" s="48" t="inlineStr">
        <is>
          <t>New Customers</t>
        </is>
      </c>
      <c r="B4" s="49" t="n">
        <v>1800</v>
      </c>
      <c r="C4" s="49" t="n">
        <v>4500</v>
      </c>
      <c r="D4" s="49" t="n">
        <v>10500</v>
      </c>
      <c r="E4" s="49" t="n">
        <v>15400</v>
      </c>
      <c r="F4" s="49" t="n">
        <v>21600</v>
      </c>
    </row>
    <row r="5">
      <c r="A5" s="48" t="inlineStr">
        <is>
          <t>Active Customers</t>
        </is>
      </c>
      <c r="B5" s="49" t="n">
        <v>1800</v>
      </c>
      <c r="C5" s="49" t="n">
        <v>5500</v>
      </c>
      <c r="D5" s="49" t="n">
        <v>14000</v>
      </c>
      <c r="E5" s="49" t="n">
        <v>25200</v>
      </c>
      <c r="F5" s="49" t="n">
        <v>39600</v>
      </c>
    </row>
    <row r="6">
      <c r="A6" s="48" t="inlineStr">
        <is>
          <t>Orders/Customer/Year</t>
        </is>
      </c>
      <c r="B6" s="54" t="n">
        <v>1.8</v>
      </c>
      <c r="C6" s="54" t="n">
        <v>2</v>
      </c>
      <c r="D6" s="54" t="n">
        <v>2.2</v>
      </c>
      <c r="E6" s="54" t="n">
        <v>2.4</v>
      </c>
      <c r="F6" s="54" t="n">
        <v>2.5</v>
      </c>
    </row>
    <row r="7">
      <c r="A7" s="48" t="inlineStr">
        <is>
          <t>AOV (₹)</t>
        </is>
      </c>
      <c r="B7" s="53" t="n">
        <v>3000</v>
      </c>
      <c r="C7" s="53" t="n">
        <v>3300</v>
      </c>
      <c r="D7" s="53" t="n">
        <v>3600</v>
      </c>
      <c r="E7" s="53" t="n">
        <v>3800</v>
      </c>
      <c r="F7" s="53" t="n">
        <v>4000</v>
      </c>
    </row>
    <row r="8">
      <c r="A8" s="48" t="inlineStr">
        <is>
          <t>GMV (₹ Cr)</t>
        </is>
      </c>
      <c r="B8" s="56" t="n">
        <v>1.3</v>
      </c>
      <c r="C8" s="56" t="n">
        <v>3.7</v>
      </c>
      <c r="D8" s="56" t="n">
        <v>9.6</v>
      </c>
      <c r="E8" s="56" t="n">
        <v>18.4</v>
      </c>
      <c r="F8" s="56" t="n">
        <v>29.7</v>
      </c>
    </row>
    <row r="9">
      <c r="A9" s="48" t="inlineStr">
        <is>
          <t>Return Rate</t>
        </is>
      </c>
      <c r="B9" s="55" t="n">
        <v>0.08</v>
      </c>
      <c r="C9" s="55" t="n">
        <v>0.08</v>
      </c>
      <c r="D9" s="55" t="n">
        <v>0.07000000000000001</v>
      </c>
      <c r="E9" s="55" t="n">
        <v>0.07000000000000001</v>
      </c>
      <c r="F9" s="55" t="n">
        <v>0.06</v>
      </c>
    </row>
    <row r="10">
      <c r="A10" s="48" t="inlineStr">
        <is>
          <t>Net Revenue (₹ Cr)</t>
        </is>
      </c>
      <c r="B10" s="56" t="n">
        <v>1.2</v>
      </c>
      <c r="C10" s="56" t="n">
        <v>3.4</v>
      </c>
      <c r="D10" s="56" t="n">
        <v>8.800000000000001</v>
      </c>
      <c r="E10" s="56" t="n">
        <v>16.8</v>
      </c>
      <c r="F10" s="56" t="n">
        <v>27.2</v>
      </c>
      <c r="G10" s="58">
        <f>(F10/B10)^(1/4)-1</f>
        <v/>
      </c>
    </row>
    <row r="12">
      <c r="A12" s="46" t="inlineStr">
        <is>
          <t>Channel: Retail</t>
        </is>
      </c>
      <c r="B12" s="47" t="n"/>
      <c r="C12" s="47" t="n"/>
      <c r="D12" s="47" t="n"/>
      <c r="E12" s="47" t="n"/>
      <c r="F12" s="47" t="n"/>
      <c r="G12" s="47" t="n"/>
    </row>
    <row r="13">
      <c r="A13" s="48" t="inlineStr">
        <is>
          <t>New Customers</t>
        </is>
      </c>
      <c r="B13" s="49" t="n">
        <v>0</v>
      </c>
      <c r="C13" s="49" t="n">
        <v>2000</v>
      </c>
      <c r="D13" s="49" t="n">
        <v>6000</v>
      </c>
      <c r="E13" s="49" t="n">
        <v>14000</v>
      </c>
      <c r="F13" s="49" t="n">
        <v>21600</v>
      </c>
    </row>
    <row r="14">
      <c r="A14" s="48" t="inlineStr">
        <is>
          <t>Active Customers</t>
        </is>
      </c>
      <c r="B14" s="49" t="n">
        <v>0</v>
      </c>
      <c r="C14" s="49" t="n">
        <v>2000</v>
      </c>
      <c r="D14" s="49" t="n">
        <v>7000</v>
      </c>
      <c r="E14" s="49" t="n">
        <v>18000</v>
      </c>
      <c r="F14" s="49" t="n">
        <v>33600</v>
      </c>
    </row>
    <row r="15">
      <c r="A15" s="48" t="inlineStr">
        <is>
          <t>Orders/Customer/Year</t>
        </is>
      </c>
      <c r="B15" s="54" t="n">
        <v>0</v>
      </c>
      <c r="C15" s="54" t="n">
        <v>1.5</v>
      </c>
      <c r="D15" s="54" t="n">
        <v>1.8</v>
      </c>
      <c r="E15" s="54" t="n">
        <v>2</v>
      </c>
      <c r="F15" s="54" t="n">
        <v>2.2</v>
      </c>
    </row>
    <row r="16">
      <c r="A16" s="48" t="inlineStr">
        <is>
          <t>AOV (₹)</t>
        </is>
      </c>
      <c r="B16" s="53" t="n">
        <v>0</v>
      </c>
      <c r="C16" s="53" t="n">
        <v>3800</v>
      </c>
      <c r="D16" s="53" t="n">
        <v>4200</v>
      </c>
      <c r="E16" s="53" t="n">
        <v>4500</v>
      </c>
      <c r="F16" s="53" t="n">
        <v>4800</v>
      </c>
    </row>
    <row r="17">
      <c r="A17" s="48" t="inlineStr">
        <is>
          <t>GMV (₹ Cr)</t>
        </is>
      </c>
      <c r="B17" s="56" t="n">
        <v>0</v>
      </c>
      <c r="C17" s="56" t="n">
        <v>1.8</v>
      </c>
      <c r="D17" s="56" t="n">
        <v>7.1</v>
      </c>
      <c r="E17" s="56" t="n">
        <v>18</v>
      </c>
      <c r="F17" s="56" t="n">
        <v>34.5</v>
      </c>
    </row>
    <row r="18">
      <c r="A18" s="48" t="inlineStr">
        <is>
          <t>Return Rate</t>
        </is>
      </c>
      <c r="B18" s="55" t="n">
        <v>0</v>
      </c>
      <c r="C18" s="55" t="n">
        <v>0.03</v>
      </c>
      <c r="D18" s="55" t="n">
        <v>0.03</v>
      </c>
      <c r="E18" s="55" t="n">
        <v>0.03</v>
      </c>
      <c r="F18" s="55" t="n">
        <v>0.03</v>
      </c>
    </row>
    <row r="19">
      <c r="A19" s="48" t="inlineStr">
        <is>
          <t>Net Revenue (₹ Cr)</t>
        </is>
      </c>
      <c r="B19" s="56" t="n">
        <v>0</v>
      </c>
      <c r="C19" s="56" t="n">
        <v>1.7</v>
      </c>
      <c r="D19" s="56" t="n">
        <v>6.6</v>
      </c>
      <c r="E19" s="56" t="n">
        <v>16.8</v>
      </c>
      <c r="F19" s="56" t="n">
        <v>32.3</v>
      </c>
    </row>
    <row r="21">
      <c r="A21" s="46" t="inlineStr">
        <is>
          <t>Channel: Marketplace</t>
        </is>
      </c>
      <c r="B21" s="47" t="n"/>
      <c r="C21" s="47" t="n"/>
      <c r="D21" s="47" t="n"/>
      <c r="E21" s="47" t="n"/>
      <c r="F21" s="47" t="n"/>
      <c r="G21" s="47" t="n"/>
    </row>
    <row r="22">
      <c r="A22" s="48" t="inlineStr">
        <is>
          <t>New Customers</t>
        </is>
      </c>
      <c r="B22" s="49" t="n">
        <v>1400</v>
      </c>
      <c r="C22" s="49" t="n">
        <v>4200</v>
      </c>
      <c r="D22" s="49" t="n">
        <v>11000</v>
      </c>
      <c r="E22" s="49" t="n">
        <v>19800</v>
      </c>
      <c r="F22" s="49" t="n">
        <v>28800</v>
      </c>
    </row>
    <row r="23">
      <c r="A23" s="48" t="inlineStr">
        <is>
          <t>Active Customers</t>
        </is>
      </c>
      <c r="B23" s="49" t="n">
        <v>1400</v>
      </c>
      <c r="C23" s="49" t="n">
        <v>5000</v>
      </c>
      <c r="D23" s="49" t="n">
        <v>14000</v>
      </c>
      <c r="E23" s="49" t="n">
        <v>28800</v>
      </c>
      <c r="F23" s="49" t="n">
        <v>46800</v>
      </c>
    </row>
    <row r="24">
      <c r="A24" s="48" t="inlineStr">
        <is>
          <t>Orders/Customer/Year</t>
        </is>
      </c>
      <c r="B24" s="54" t="n">
        <v>1.5</v>
      </c>
      <c r="C24" s="54" t="n">
        <v>1.8</v>
      </c>
      <c r="D24" s="54" t="n">
        <v>2</v>
      </c>
      <c r="E24" s="54" t="n">
        <v>2.2</v>
      </c>
      <c r="F24" s="54" t="n">
        <v>2.3</v>
      </c>
    </row>
    <row r="25">
      <c r="A25" s="48" t="inlineStr">
        <is>
          <t>AOV (₹)</t>
        </is>
      </c>
      <c r="B25" s="53" t="n">
        <v>2500</v>
      </c>
      <c r="C25" s="53" t="n">
        <v>2800</v>
      </c>
      <c r="D25" s="53" t="n">
        <v>3000</v>
      </c>
      <c r="E25" s="53" t="n">
        <v>3200</v>
      </c>
      <c r="F25" s="53" t="n">
        <v>3400</v>
      </c>
    </row>
    <row r="26">
      <c r="A26" s="48" t="inlineStr">
        <is>
          <t>GMV (₹ Cr)</t>
        </is>
      </c>
      <c r="B26" s="56" t="n">
        <v>1.35</v>
      </c>
      <c r="C26" s="56" t="n">
        <v>3.8</v>
      </c>
      <c r="D26" s="56" t="n">
        <v>7.4</v>
      </c>
      <c r="E26" s="56" t="n">
        <v>16.1</v>
      </c>
      <c r="F26" s="56" t="n">
        <v>28.5</v>
      </c>
    </row>
    <row r="27">
      <c r="A27" s="48" t="inlineStr">
        <is>
          <t>Return Rate</t>
        </is>
      </c>
      <c r="B27" s="55" t="n">
        <v>0.1</v>
      </c>
      <c r="C27" s="55" t="n">
        <v>0.1</v>
      </c>
      <c r="D27" s="55" t="n">
        <v>0.09</v>
      </c>
      <c r="E27" s="55" t="n">
        <v>0.09</v>
      </c>
      <c r="F27" s="55" t="n">
        <v>0.08</v>
      </c>
    </row>
    <row r="28">
      <c r="A28" s="48" t="inlineStr">
        <is>
          <t>Net Revenue (₹ Cr)</t>
        </is>
      </c>
      <c r="B28" s="56" t="n">
        <v>1.2</v>
      </c>
      <c r="C28" s="56" t="n">
        <v>3.4</v>
      </c>
      <c r="D28" s="56" t="n">
        <v>6.6</v>
      </c>
      <c r="E28" s="56" t="n">
        <v>14.4</v>
      </c>
      <c r="F28" s="56" t="n">
        <v>25.5</v>
      </c>
      <c r="G28" s="58">
        <f>(F28/B28)^(1/4)-1</f>
        <v/>
      </c>
    </row>
    <row r="30">
      <c r="A30" s="46" t="inlineStr">
        <is>
          <t>Consolidated</t>
        </is>
      </c>
      <c r="B30" s="47" t="n"/>
      <c r="C30" s="47" t="n"/>
      <c r="D30" s="47" t="n"/>
      <c r="E30" s="47" t="n"/>
      <c r="F30" s="47" t="n"/>
      <c r="G30" s="47" t="n"/>
    </row>
    <row r="31">
      <c r="A31" s="51" t="inlineStr">
        <is>
          <t>Total Customers</t>
        </is>
      </c>
      <c r="B31" s="52">
        <f>SUM(B5,B14,B23)</f>
        <v/>
      </c>
      <c r="C31" s="52">
        <f>SUM(C5,C14,C23)</f>
        <v/>
      </c>
      <c r="D31" s="52">
        <f>SUM(D5,D14,D23)</f>
        <v/>
      </c>
      <c r="E31" s="52">
        <f>SUM(E5,E14,E23)</f>
        <v/>
      </c>
      <c r="F31" s="52">
        <f>SUM(F5,F14,F23)</f>
        <v/>
      </c>
    </row>
    <row r="32">
      <c r="A32" s="51" t="inlineStr">
        <is>
          <t>Total GMV (₹ Cr)</t>
        </is>
      </c>
      <c r="B32" s="57">
        <f>SUM(B8,B17,B26)</f>
        <v/>
      </c>
      <c r="C32" s="57">
        <f>SUM(C8,C17,C26)</f>
        <v/>
      </c>
      <c r="D32" s="57">
        <f>SUM(D8,D17,D26)</f>
        <v/>
      </c>
      <c r="E32" s="57">
        <f>SUM(E8,E17,E26)</f>
        <v/>
      </c>
      <c r="F32" s="57">
        <f>SUM(F8,F17,F26)</f>
        <v/>
      </c>
    </row>
    <row r="33">
      <c r="A33" s="59" t="inlineStr">
        <is>
          <t>Total Net Revenue (₹ Cr)</t>
        </is>
      </c>
      <c r="B33" s="60">
        <f>B10+B19+B28</f>
        <v/>
      </c>
      <c r="C33" s="60">
        <f>C10+C19+C28</f>
        <v/>
      </c>
      <c r="D33" s="60">
        <f>D10+D19+D28</f>
        <v/>
      </c>
      <c r="E33" s="60">
        <f>E10+E19+E28</f>
        <v/>
      </c>
      <c r="F33" s="60">
        <f>F10+F19+F28</f>
        <v/>
      </c>
      <c r="G33" s="61">
        <f>(F33/B33)^(1/4)-1</f>
        <v/>
      </c>
    </row>
    <row r="35">
      <c r="A35" s="62" t="inlineStr">
        <is>
          <t>YoY Revenue Growth %</t>
        </is>
      </c>
      <c r="B35" s="63" t="n"/>
      <c r="C35" s="63">
        <f>(C33-B33)/B33</f>
        <v/>
      </c>
      <c r="D35" s="63">
        <f>(D33-C33)/C33</f>
        <v/>
      </c>
      <c r="E35" s="63">
        <f>(E33-D33)/D33</f>
        <v/>
      </c>
      <c r="F35" s="63">
        <f>(F33-E33)/E33</f>
        <v/>
      </c>
    </row>
    <row r="37">
      <c r="A37" s="46" t="inlineStr">
        <is>
          <t>Year 1 — Monthly Detail (₹ Cr)</t>
        </is>
      </c>
      <c r="B37" s="47" t="n"/>
      <c r="C37" s="47" t="n"/>
      <c r="D37" s="47" t="n"/>
      <c r="E37" s="47" t="n"/>
      <c r="F37" s="47" t="n"/>
      <c r="G37" s="47" t="n"/>
    </row>
    <row r="38">
      <c r="A38" s="64" t="inlineStr">
        <is>
          <t>Month</t>
        </is>
      </c>
      <c r="B38" s="64" t="inlineStr">
        <is>
          <t>Apr'24</t>
        </is>
      </c>
      <c r="C38" s="64" t="inlineStr">
        <is>
          <t>May'24</t>
        </is>
      </c>
      <c r="D38" s="64" t="inlineStr">
        <is>
          <t>Jun'24</t>
        </is>
      </c>
      <c r="E38" s="64" t="inlineStr">
        <is>
          <t>Jul'24</t>
        </is>
      </c>
      <c r="F38" s="64" t="inlineStr">
        <is>
          <t>Aug'24</t>
        </is>
      </c>
      <c r="G38" s="64" t="inlineStr">
        <is>
          <t>Sep'24</t>
        </is>
      </c>
    </row>
    <row r="39">
      <c r="A39" s="65" t="inlineStr">
        <is>
          <t>Net Revenue</t>
        </is>
      </c>
      <c r="B39" s="56" t="n">
        <v>0.08</v>
      </c>
      <c r="C39" s="56" t="n">
        <v>0.1</v>
      </c>
      <c r="D39" s="56" t="n">
        <v>0.12</v>
      </c>
      <c r="E39" s="56" t="n">
        <v>0.15</v>
      </c>
      <c r="F39" s="56" t="n">
        <v>0.18</v>
      </c>
      <c r="G39" s="56" t="n">
        <v>0.2</v>
      </c>
    </row>
    <row r="41">
      <c r="A41" s="64" t="inlineStr">
        <is>
          <t>Month</t>
        </is>
      </c>
      <c r="B41" s="64" t="inlineStr">
        <is>
          <t>Oct'24</t>
        </is>
      </c>
      <c r="C41" s="64" t="inlineStr">
        <is>
          <t>Nov'24</t>
        </is>
      </c>
      <c r="D41" s="64" t="inlineStr">
        <is>
          <t>Dec'24</t>
        </is>
      </c>
      <c r="E41" s="64" t="inlineStr">
        <is>
          <t>Jan'25</t>
        </is>
      </c>
      <c r="F41" s="64" t="inlineStr">
        <is>
          <t>Feb'25</t>
        </is>
      </c>
      <c r="G41" s="64" t="inlineStr">
        <is>
          <t>Mar'25</t>
        </is>
      </c>
    </row>
    <row r="42">
      <c r="A42" s="65" t="inlineStr">
        <is>
          <t>Net Revenue</t>
        </is>
      </c>
      <c r="B42" s="56" t="n">
        <v>0.22</v>
      </c>
      <c r="C42" s="56" t="n">
        <v>0.24</v>
      </c>
      <c r="D42" s="56" t="n">
        <v>0.26</v>
      </c>
      <c r="E42" s="56" t="n">
        <v>0.28</v>
      </c>
      <c r="F42" s="56" t="n">
        <v>0.28</v>
      </c>
      <c r="G42" s="56" t="n">
        <v>0.29</v>
      </c>
    </row>
  </sheetData>
  <mergeCells count="6">
    <mergeCell ref="A1:G1"/>
    <mergeCell ref="A3:G3"/>
    <mergeCell ref="A21:G21"/>
    <mergeCell ref="A12:G12"/>
    <mergeCell ref="A30:G30"/>
    <mergeCell ref="A37:G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F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3" t="inlineStr">
        <is>
          <t>RUBAN — Profit &amp; Loss Statement (₹ Cr)</t>
        </is>
      </c>
      <c r="B1" s="1" t="n"/>
      <c r="C1" s="1" t="n"/>
      <c r="D1" s="1" t="n"/>
      <c r="E1" s="1" t="n"/>
      <c r="F1" s="1" t="n"/>
    </row>
    <row r="2">
      <c r="A2" s="44" t="inlineStr"/>
      <c r="B2" s="44" t="inlineStr">
        <is>
          <t>Year 1</t>
        </is>
      </c>
      <c r="C2" s="44" t="inlineStr">
        <is>
          <t>Year 2</t>
        </is>
      </c>
      <c r="D2" s="44" t="inlineStr">
        <is>
          <t>Year 3</t>
        </is>
      </c>
      <c r="E2" s="44" t="inlineStr">
        <is>
          <t>Year 4</t>
        </is>
      </c>
      <c r="F2" s="44" t="inlineStr">
        <is>
          <t>Year 5</t>
        </is>
      </c>
    </row>
    <row r="3">
      <c r="A3" s="46" t="inlineStr">
        <is>
          <t>Revenue</t>
        </is>
      </c>
      <c r="B3" s="47" t="n"/>
      <c r="C3" s="47" t="n"/>
      <c r="D3" s="47" t="n"/>
      <c r="E3" s="47" t="n"/>
      <c r="F3" s="47" t="n"/>
    </row>
    <row r="4">
      <c r="A4" s="48" t="inlineStr">
        <is>
          <t>Website</t>
        </is>
      </c>
      <c r="B4" s="56" t="n">
        <v>1.2</v>
      </c>
      <c r="C4" s="56" t="n">
        <v>3.4</v>
      </c>
      <c r="D4" s="56" t="n">
        <v>8.800000000000001</v>
      </c>
      <c r="E4" s="56" t="n">
        <v>16.8</v>
      </c>
      <c r="F4" s="56" t="n">
        <v>27.2</v>
      </c>
    </row>
    <row r="5">
      <c r="A5" s="48" t="inlineStr">
        <is>
          <t>Retail</t>
        </is>
      </c>
      <c r="B5" s="56" t="n">
        <v>0</v>
      </c>
      <c r="C5" s="56" t="n">
        <v>1.7</v>
      </c>
      <c r="D5" s="56" t="n">
        <v>6.6</v>
      </c>
      <c r="E5" s="56" t="n">
        <v>16.8</v>
      </c>
      <c r="F5" s="56" t="n">
        <v>32.3</v>
      </c>
    </row>
    <row r="6">
      <c r="A6" s="48" t="inlineStr">
        <is>
          <t>Marketplace</t>
        </is>
      </c>
      <c r="B6" s="56" t="n">
        <v>1.2</v>
      </c>
      <c r="C6" s="56" t="n">
        <v>3.4</v>
      </c>
      <c r="D6" s="56" t="n">
        <v>6.6</v>
      </c>
      <c r="E6" s="56" t="n">
        <v>14.4</v>
      </c>
      <c r="F6" s="56" t="n">
        <v>25.5</v>
      </c>
    </row>
    <row r="7">
      <c r="A7" s="59" t="inlineStr">
        <is>
          <t>Net Revenue</t>
        </is>
      </c>
      <c r="B7" s="60">
        <f>SUM(B4:B6)</f>
        <v/>
      </c>
      <c r="C7" s="60">
        <f>SUM(C4:C6)</f>
        <v/>
      </c>
      <c r="D7" s="60">
        <f>SUM(D4:D6)</f>
        <v/>
      </c>
      <c r="E7" s="60">
        <f>SUM(E4:E6)</f>
        <v/>
      </c>
      <c r="F7" s="60">
        <f>SUM(F4:F6)</f>
        <v/>
      </c>
    </row>
    <row r="8">
      <c r="A8" s="66" t="inlineStr">
        <is>
          <t xml:space="preserve">  YoY Growth %</t>
        </is>
      </c>
      <c r="B8" s="63" t="n"/>
      <c r="C8" s="63">
        <f>(C7-B7)/B7</f>
        <v/>
      </c>
      <c r="D8" s="63">
        <f>(D7-C7)/C7</f>
        <v/>
      </c>
      <c r="E8" s="63">
        <f>(E7-D7)/D7</f>
        <v/>
      </c>
      <c r="F8" s="63">
        <f>(F7-E7)/E7</f>
        <v/>
      </c>
    </row>
    <row r="10">
      <c r="A10" s="46" t="inlineStr">
        <is>
          <t>Cost of Goods Sold</t>
        </is>
      </c>
      <c r="B10" s="47" t="n"/>
      <c r="C10" s="47" t="n"/>
      <c r="D10" s="47" t="n"/>
      <c r="E10" s="47" t="n"/>
      <c r="F10" s="47" t="n"/>
    </row>
    <row r="11">
      <c r="A11" s="48" t="inlineStr">
        <is>
          <t>Website</t>
        </is>
      </c>
      <c r="B11" s="56" t="n">
        <v>0.58</v>
      </c>
      <c r="C11" s="56" t="n">
        <v>1.56</v>
      </c>
      <c r="D11" s="56" t="n">
        <v>3.87</v>
      </c>
      <c r="E11" s="56" t="n">
        <v>7.22</v>
      </c>
      <c r="F11" s="56" t="n">
        <v>11.42</v>
      </c>
    </row>
    <row r="12">
      <c r="A12" s="48" t="inlineStr">
        <is>
          <t>Retail</t>
        </is>
      </c>
      <c r="B12" s="56" t="n">
        <v>0</v>
      </c>
      <c r="C12" s="56" t="n">
        <v>0.85</v>
      </c>
      <c r="D12" s="56" t="n">
        <v>3.1</v>
      </c>
      <c r="E12" s="56" t="n">
        <v>7.56</v>
      </c>
      <c r="F12" s="56" t="n">
        <v>13.89</v>
      </c>
    </row>
    <row r="13">
      <c r="A13" s="48" t="inlineStr">
        <is>
          <t>Marketplace</t>
        </is>
      </c>
      <c r="B13" s="56" t="n">
        <v>0.58</v>
      </c>
      <c r="C13" s="56" t="n">
        <v>1.56</v>
      </c>
      <c r="D13" s="56" t="n">
        <v>2.9</v>
      </c>
      <c r="E13" s="56" t="n">
        <v>6.19</v>
      </c>
      <c r="F13" s="56" t="n">
        <v>10.71</v>
      </c>
    </row>
    <row r="14">
      <c r="A14" s="51" t="inlineStr">
        <is>
          <t>Total COGS</t>
        </is>
      </c>
      <c r="B14" s="57">
        <f>SUM(B11:B13)</f>
        <v/>
      </c>
      <c r="C14" s="57">
        <f>SUM(C11:C13)</f>
        <v/>
      </c>
      <c r="D14" s="57">
        <f>SUM(D11:D13)</f>
        <v/>
      </c>
      <c r="E14" s="57">
        <f>SUM(E11:E13)</f>
        <v/>
      </c>
      <c r="F14" s="57">
        <f>SUM(F11:F13)</f>
        <v/>
      </c>
    </row>
    <row r="16">
      <c r="A16" s="46" t="inlineStr">
        <is>
          <t>Gross Profit</t>
        </is>
      </c>
      <c r="B16" s="47" t="n"/>
      <c r="C16" s="47" t="n"/>
      <c r="D16" s="47" t="n"/>
      <c r="E16" s="47" t="n"/>
      <c r="F16" s="47" t="n"/>
    </row>
    <row r="17">
      <c r="A17" s="59" t="inlineStr">
        <is>
          <t>Gross Profit</t>
        </is>
      </c>
      <c r="B17" s="60">
        <f>B7-B14</f>
        <v/>
      </c>
      <c r="C17" s="60">
        <f>C7-C14</f>
        <v/>
      </c>
      <c r="D17" s="60">
        <f>D7-D14</f>
        <v/>
      </c>
      <c r="E17" s="60">
        <f>E7-E14</f>
        <v/>
      </c>
      <c r="F17" s="60">
        <f>F7-F14</f>
        <v/>
      </c>
    </row>
    <row r="18">
      <c r="A18" s="62" t="inlineStr">
        <is>
          <t xml:space="preserve">  Gross Margin %</t>
        </is>
      </c>
      <c r="B18" s="63">
        <f>B17/B7</f>
        <v/>
      </c>
      <c r="C18" s="63">
        <f>C17/C7</f>
        <v/>
      </c>
      <c r="D18" s="63">
        <f>D17/D7</f>
        <v/>
      </c>
      <c r="E18" s="63">
        <f>E17/E7</f>
        <v/>
      </c>
      <c r="F18" s="63">
        <f>F17/F7</f>
        <v/>
      </c>
    </row>
    <row r="20">
      <c r="A20" s="46" t="inlineStr">
        <is>
          <t>Operating Expenses</t>
        </is>
      </c>
      <c r="B20" s="47" t="n"/>
      <c r="C20" s="47" t="n"/>
      <c r="D20" s="47" t="n"/>
      <c r="E20" s="47" t="n"/>
      <c r="F20" s="47" t="n"/>
    </row>
    <row r="21">
      <c r="A21" s="48" t="inlineStr">
        <is>
          <t>Marketing &amp; Advertising</t>
        </is>
      </c>
      <c r="B21" s="56" t="n">
        <v>0.96</v>
      </c>
      <c r="C21" s="56" t="n">
        <v>2.13</v>
      </c>
      <c r="D21" s="56" t="n">
        <v>3.52</v>
      </c>
      <c r="E21" s="56" t="n">
        <v>5.28</v>
      </c>
      <c r="F21" s="56" t="n">
        <v>7.65</v>
      </c>
    </row>
    <row r="22">
      <c r="A22" s="48" t="inlineStr">
        <is>
          <t>Employee Costs</t>
        </is>
      </c>
      <c r="B22" s="56" t="n">
        <v>0.55</v>
      </c>
      <c r="C22" s="56" t="n">
        <v>1.2</v>
      </c>
      <c r="D22" s="56" t="n">
        <v>2.2</v>
      </c>
      <c r="E22" s="56" t="n">
        <v>3.84</v>
      </c>
      <c r="F22" s="56" t="n">
        <v>5.95</v>
      </c>
    </row>
    <row r="23">
      <c r="A23" s="48" t="inlineStr">
        <is>
          <t>Technology &amp; Platform</t>
        </is>
      </c>
      <c r="B23" s="56" t="n">
        <v>0.24</v>
      </c>
      <c r="C23" s="56" t="n">
        <v>0.43</v>
      </c>
      <c r="D23" s="56" t="n">
        <v>0.66</v>
      </c>
      <c r="E23" s="56" t="n">
        <v>0.96</v>
      </c>
      <c r="F23" s="56" t="n">
        <v>1.28</v>
      </c>
    </row>
    <row r="24">
      <c r="A24" s="48" t="inlineStr">
        <is>
          <t>Rent &amp; Utilities</t>
        </is>
      </c>
      <c r="B24" s="56" t="n">
        <v>0</v>
      </c>
      <c r="C24" s="56" t="n">
        <v>0.36</v>
      </c>
      <c r="D24" s="56" t="n">
        <v>0.88</v>
      </c>
      <c r="E24" s="56" t="n">
        <v>1.44</v>
      </c>
      <c r="F24" s="56" t="n">
        <v>1.87</v>
      </c>
    </row>
    <row r="25">
      <c r="A25" s="48" t="inlineStr">
        <is>
          <t>Logistics &amp; Fulfillment</t>
        </is>
      </c>
      <c r="B25" s="56" t="n">
        <v>0.19</v>
      </c>
      <c r="C25" s="56" t="n">
        <v>0.6</v>
      </c>
      <c r="D25" s="56" t="n">
        <v>1.32</v>
      </c>
      <c r="E25" s="56" t="n">
        <v>2.4</v>
      </c>
      <c r="F25" s="56" t="n">
        <v>3.83</v>
      </c>
    </row>
    <row r="26">
      <c r="A26" s="48" t="inlineStr">
        <is>
          <t>Other G&amp;A</t>
        </is>
      </c>
      <c r="B26" s="56" t="n">
        <v>0.14</v>
      </c>
      <c r="C26" s="56" t="n">
        <v>0.34</v>
      </c>
      <c r="D26" s="56" t="n">
        <v>0.66</v>
      </c>
      <c r="E26" s="56" t="n">
        <v>0.96</v>
      </c>
      <c r="F26" s="56" t="n">
        <v>1.19</v>
      </c>
    </row>
    <row r="27">
      <c r="A27" s="51" t="inlineStr">
        <is>
          <t>Total OPEX</t>
        </is>
      </c>
      <c r="B27" s="57">
        <f>SUM(B21:B26)</f>
        <v/>
      </c>
      <c r="C27" s="57">
        <f>SUM(C21:C26)</f>
        <v/>
      </c>
      <c r="D27" s="57">
        <f>SUM(D21:D26)</f>
        <v/>
      </c>
      <c r="E27" s="57">
        <f>SUM(E21:E26)</f>
        <v/>
      </c>
      <c r="F27" s="57">
        <f>SUM(F21:F26)</f>
        <v/>
      </c>
    </row>
    <row r="28">
      <c r="A28" s="62" t="inlineStr">
        <is>
          <t xml:space="preserve">  OPEX as % of Revenue</t>
        </is>
      </c>
      <c r="B28" s="63">
        <f>B27/B7</f>
        <v/>
      </c>
      <c r="C28" s="63">
        <f>C27/C7</f>
        <v/>
      </c>
      <c r="D28" s="63">
        <f>D27/D7</f>
        <v/>
      </c>
      <c r="E28" s="63">
        <f>E27/E7</f>
        <v/>
      </c>
      <c r="F28" s="63">
        <f>F27/F7</f>
        <v/>
      </c>
    </row>
    <row r="30">
      <c r="A30" s="46" t="inlineStr">
        <is>
          <t>EBITDA</t>
        </is>
      </c>
      <c r="B30" s="47" t="n"/>
      <c r="C30" s="47" t="n"/>
      <c r="D30" s="47" t="n"/>
      <c r="E30" s="47" t="n"/>
      <c r="F30" s="47" t="n"/>
    </row>
    <row r="31">
      <c r="A31" s="59" t="inlineStr">
        <is>
          <t>EBITDA</t>
        </is>
      </c>
      <c r="B31" s="60">
        <f>B17-B27</f>
        <v/>
      </c>
      <c r="C31" s="60">
        <f>C17-C27</f>
        <v/>
      </c>
      <c r="D31" s="60">
        <f>D17-D27</f>
        <v/>
      </c>
      <c r="E31" s="60">
        <f>E17-E27</f>
        <v/>
      </c>
      <c r="F31" s="60">
        <f>F17-F27</f>
        <v/>
      </c>
    </row>
    <row r="32">
      <c r="A32" s="62" t="inlineStr">
        <is>
          <t xml:space="preserve">  EBITDA Margin %</t>
        </is>
      </c>
      <c r="B32" s="63">
        <f>B31/B7</f>
        <v/>
      </c>
      <c r="C32" s="63">
        <f>C31/C7</f>
        <v/>
      </c>
      <c r="D32" s="63">
        <f>D31/D7</f>
        <v/>
      </c>
      <c r="E32" s="63">
        <f>E31/E7</f>
        <v/>
      </c>
      <c r="F32" s="63">
        <f>F31/F7</f>
        <v/>
      </c>
    </row>
    <row r="34">
      <c r="A34" s="46" t="inlineStr">
        <is>
          <t>Below EBITDA</t>
        </is>
      </c>
      <c r="B34" s="47" t="n"/>
      <c r="C34" s="47" t="n"/>
      <c r="D34" s="47" t="n"/>
      <c r="E34" s="47" t="n"/>
      <c r="F34" s="47" t="n"/>
    </row>
    <row r="35">
      <c r="A35" s="48" t="inlineStr">
        <is>
          <t>Depreciation &amp; Amortization</t>
        </is>
      </c>
      <c r="B35" s="56" t="n">
        <v>0.05</v>
      </c>
      <c r="C35" s="56" t="n">
        <v>0.15</v>
      </c>
      <c r="D35" s="56" t="n">
        <v>0.35</v>
      </c>
      <c r="E35" s="56" t="n">
        <v>0.6</v>
      </c>
      <c r="F35" s="56" t="n">
        <v>0.85</v>
      </c>
    </row>
    <row r="36">
      <c r="A36" s="51" t="inlineStr">
        <is>
          <t>EBIT</t>
        </is>
      </c>
      <c r="B36" s="57">
        <f>B31-B35</f>
        <v/>
      </c>
      <c r="C36" s="57">
        <f>C31-C35</f>
        <v/>
      </c>
      <c r="D36" s="57">
        <f>D31-D35</f>
        <v/>
      </c>
      <c r="E36" s="57">
        <f>E31-E35</f>
        <v/>
      </c>
      <c r="F36" s="57">
        <f>F31-F35</f>
        <v/>
      </c>
    </row>
    <row r="37">
      <c r="A37" s="48" t="inlineStr">
        <is>
          <t>Interest Expense</t>
        </is>
      </c>
      <c r="B37" s="56" t="n">
        <v>0</v>
      </c>
      <c r="C37" s="56" t="n">
        <v>0.05</v>
      </c>
      <c r="D37" s="56" t="n">
        <v>0.08</v>
      </c>
      <c r="E37" s="56" t="n">
        <v>0.06</v>
      </c>
      <c r="F37" s="56" t="n">
        <v>0.03</v>
      </c>
    </row>
    <row r="38">
      <c r="A38" s="51" t="inlineStr">
        <is>
          <t>Profit Before Tax (PBT)</t>
        </is>
      </c>
      <c r="B38" s="57">
        <f>B36-B37</f>
        <v/>
      </c>
      <c r="C38" s="57">
        <f>C36-C37</f>
        <v/>
      </c>
      <c r="D38" s="57">
        <f>D36-D37</f>
        <v/>
      </c>
      <c r="E38" s="57">
        <f>E36-E37</f>
        <v/>
      </c>
      <c r="F38" s="57">
        <f>F36-F37</f>
        <v/>
      </c>
    </row>
    <row r="39">
      <c r="A39" s="48" t="inlineStr">
        <is>
          <t>Tax Provision</t>
        </is>
      </c>
      <c r="B39" s="56" t="n">
        <v>0</v>
      </c>
      <c r="C39" s="56" t="n">
        <v>0</v>
      </c>
      <c r="D39" s="56" t="n">
        <v>0</v>
      </c>
      <c r="E39" s="56" t="n">
        <v>0.72</v>
      </c>
      <c r="F39" s="56" t="n">
        <v>2.28</v>
      </c>
    </row>
    <row r="40">
      <c r="A40" s="59" t="inlineStr">
        <is>
          <t>Net Income (PAT)</t>
        </is>
      </c>
      <c r="B40" s="60">
        <f>B38-B39</f>
        <v/>
      </c>
      <c r="C40" s="60">
        <f>C38-C39</f>
        <v/>
      </c>
      <c r="D40" s="60">
        <f>D38-D39</f>
        <v/>
      </c>
      <c r="E40" s="60">
        <f>E38-E39</f>
        <v/>
      </c>
      <c r="F40" s="60">
        <f>F38-F39</f>
        <v/>
      </c>
    </row>
    <row r="41">
      <c r="A41" s="62" t="inlineStr">
        <is>
          <t xml:space="preserve">  Net Margin %</t>
        </is>
      </c>
      <c r="B41" s="63">
        <f>B40/B7</f>
        <v/>
      </c>
      <c r="C41" s="63">
        <f>C40/C7</f>
        <v/>
      </c>
      <c r="D41" s="63">
        <f>D40/D7</f>
        <v/>
      </c>
      <c r="E41" s="63">
        <f>E40/E7</f>
        <v/>
      </c>
      <c r="F41" s="63">
        <f>F40/F7</f>
        <v/>
      </c>
    </row>
  </sheetData>
  <mergeCells count="7">
    <mergeCell ref="A16:F16"/>
    <mergeCell ref="A10:F10"/>
    <mergeCell ref="A1:F1"/>
    <mergeCell ref="A34:F34"/>
    <mergeCell ref="A3:F3"/>
    <mergeCell ref="A30:F30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BC9C"/>
    <outlinePr summaryBelow="1" summaryRight="1"/>
    <pageSetUpPr/>
  </sheetPr>
  <dimension ref="A1:F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3" t="inlineStr">
        <is>
          <t>RUBAN — Balance Sheet (₹ Cr)</t>
        </is>
      </c>
      <c r="B1" s="1" t="n"/>
      <c r="C1" s="1" t="n"/>
      <c r="D1" s="1" t="n"/>
      <c r="E1" s="1" t="n"/>
      <c r="F1" s="1" t="n"/>
    </row>
    <row r="2">
      <c r="A2" s="44" t="inlineStr"/>
      <c r="B2" s="44" t="inlineStr">
        <is>
          <t>Year 1</t>
        </is>
      </c>
      <c r="C2" s="44" t="inlineStr">
        <is>
          <t>Year 2</t>
        </is>
      </c>
      <c r="D2" s="44" t="inlineStr">
        <is>
          <t>Year 3</t>
        </is>
      </c>
      <c r="E2" s="44" t="inlineStr">
        <is>
          <t>Year 4</t>
        </is>
      </c>
      <c r="F2" s="44" t="inlineStr">
        <is>
          <t>Year 5</t>
        </is>
      </c>
    </row>
    <row r="3">
      <c r="A3" s="46" t="inlineStr">
        <is>
          <t>Assets</t>
        </is>
      </c>
      <c r="B3" s="47" t="n"/>
      <c r="C3" s="47" t="n"/>
      <c r="D3" s="47" t="n"/>
      <c r="E3" s="47" t="n"/>
      <c r="F3" s="47" t="n"/>
    </row>
    <row r="4">
      <c r="A4" s="48" t="inlineStr">
        <is>
          <t>Cash &amp; Equivalents</t>
        </is>
      </c>
      <c r="B4" s="56" t="n">
        <v>1.5</v>
      </c>
      <c r="C4" s="56" t="n">
        <v>9.800000000000001</v>
      </c>
      <c r="D4" s="56" t="n">
        <v>7.2</v>
      </c>
      <c r="E4" s="56" t="n">
        <v>41.5</v>
      </c>
      <c r="F4" s="56" t="n">
        <v>35.8</v>
      </c>
    </row>
    <row r="5">
      <c r="A5" s="48" t="inlineStr">
        <is>
          <t>Inventory</t>
        </is>
      </c>
      <c r="B5" s="56" t="n">
        <v>0.3</v>
      </c>
      <c r="C5" s="56" t="n">
        <v>0.85</v>
      </c>
      <c r="D5" s="56" t="n">
        <v>2.2</v>
      </c>
      <c r="E5" s="56" t="n">
        <v>4.8</v>
      </c>
      <c r="F5" s="56" t="n">
        <v>8.5</v>
      </c>
    </row>
    <row r="6">
      <c r="A6" s="48" t="inlineStr">
        <is>
          <t>Accounts Receivable</t>
        </is>
      </c>
      <c r="B6" s="56" t="n">
        <v>0.2</v>
      </c>
      <c r="C6" s="56" t="n">
        <v>0.7</v>
      </c>
      <c r="D6" s="56" t="n">
        <v>1.8</v>
      </c>
      <c r="E6" s="56" t="n">
        <v>4</v>
      </c>
      <c r="F6" s="56" t="n">
        <v>7.1</v>
      </c>
    </row>
    <row r="7">
      <c r="A7" s="48" t="inlineStr">
        <is>
          <t>Fixed Assets (Net of D&amp;A)</t>
        </is>
      </c>
      <c r="B7" s="56" t="n">
        <v>0.3</v>
      </c>
      <c r="C7" s="56" t="n">
        <v>1.15</v>
      </c>
      <c r="D7" s="56" t="n">
        <v>2.8</v>
      </c>
      <c r="E7" s="56" t="n">
        <v>4.2</v>
      </c>
      <c r="F7" s="56" t="n">
        <v>5.35</v>
      </c>
    </row>
    <row r="8">
      <c r="A8" s="59" t="inlineStr">
        <is>
          <t>Total Assets</t>
        </is>
      </c>
      <c r="B8" s="60">
        <f>SUM(B4:B7)</f>
        <v/>
      </c>
      <c r="C8" s="60">
        <f>SUM(C4:C7)</f>
        <v/>
      </c>
      <c r="D8" s="60">
        <f>SUM(D4:D7)</f>
        <v/>
      </c>
      <c r="E8" s="60">
        <f>SUM(E4:E7)</f>
        <v/>
      </c>
      <c r="F8" s="60">
        <f>SUM(F4:F7)</f>
        <v/>
      </c>
    </row>
    <row r="10">
      <c r="A10" s="46" t="inlineStr">
        <is>
          <t>Liabilities</t>
        </is>
      </c>
      <c r="B10" s="47" t="n"/>
      <c r="C10" s="47" t="n"/>
      <c r="D10" s="47" t="n"/>
      <c r="E10" s="47" t="n"/>
      <c r="F10" s="47" t="n"/>
    </row>
    <row r="11">
      <c r="A11" s="48" t="inlineStr">
        <is>
          <t>Accounts Payable</t>
        </is>
      </c>
      <c r="B11" s="56" t="n">
        <v>0.15</v>
      </c>
      <c r="C11" s="56" t="n">
        <v>0.55</v>
      </c>
      <c r="D11" s="56" t="n">
        <v>1.5</v>
      </c>
      <c r="E11" s="56" t="n">
        <v>3.2</v>
      </c>
      <c r="F11" s="56" t="n">
        <v>5.65</v>
      </c>
    </row>
    <row r="12">
      <c r="A12" s="48" t="inlineStr">
        <is>
          <t>Short-term Debt</t>
        </is>
      </c>
      <c r="B12" s="56" t="n">
        <v>0</v>
      </c>
      <c r="C12" s="56" t="n">
        <v>0.5</v>
      </c>
      <c r="D12" s="56" t="n">
        <v>0.5</v>
      </c>
      <c r="E12" s="56" t="n">
        <v>0</v>
      </c>
      <c r="F12" s="56" t="n">
        <v>0</v>
      </c>
    </row>
    <row r="13">
      <c r="A13" s="48" t="inlineStr">
        <is>
          <t>Long-term Debt</t>
        </is>
      </c>
      <c r="B13" s="56" t="n">
        <v>0</v>
      </c>
      <c r="C13" s="56" t="n">
        <v>0.5</v>
      </c>
      <c r="D13" s="56" t="n">
        <v>1</v>
      </c>
      <c r="E13" s="56" t="n">
        <v>0.5</v>
      </c>
      <c r="F13" s="56" t="n">
        <v>0</v>
      </c>
    </row>
    <row r="14">
      <c r="A14" s="51" t="inlineStr">
        <is>
          <t>Total Liabilities</t>
        </is>
      </c>
      <c r="B14" s="57">
        <f>SUM(B11:B13)</f>
        <v/>
      </c>
      <c r="C14" s="57">
        <f>SUM(C11:C13)</f>
        <v/>
      </c>
      <c r="D14" s="57">
        <f>SUM(D11:D13)</f>
        <v/>
      </c>
      <c r="E14" s="57">
        <f>SUM(E11:E13)</f>
        <v/>
      </c>
      <c r="F14" s="57">
        <f>SUM(F11:F13)</f>
        <v/>
      </c>
    </row>
    <row r="16">
      <c r="A16" s="46" t="inlineStr">
        <is>
          <t>Shareholders' Equity</t>
        </is>
      </c>
      <c r="B16" s="47" t="n"/>
      <c r="C16" s="47" t="n"/>
      <c r="D16" s="47" t="n"/>
      <c r="E16" s="47" t="n"/>
      <c r="F16" s="47" t="n"/>
    </row>
    <row r="17">
      <c r="A17" s="48" t="inlineStr">
        <is>
          <t>Share Capital (Paid-in)</t>
        </is>
      </c>
      <c r="B17" s="56" t="n">
        <v>3</v>
      </c>
      <c r="C17" s="56" t="n">
        <v>18</v>
      </c>
      <c r="D17" s="56" t="n">
        <v>18</v>
      </c>
      <c r="E17" s="56" t="n">
        <v>68</v>
      </c>
      <c r="F17" s="56" t="n">
        <v>68</v>
      </c>
    </row>
    <row r="18">
      <c r="A18" s="67" t="inlineStr">
        <is>
          <t>Retained Earnings</t>
        </is>
      </c>
      <c r="B18" s="68">
        <f>B8-B14-B17</f>
        <v/>
      </c>
      <c r="C18" s="68">
        <f>C8-C14-C17</f>
        <v/>
      </c>
      <c r="D18" s="68">
        <f>D8-D14-D17</f>
        <v/>
      </c>
      <c r="E18" s="68">
        <f>E8-E14-E17</f>
        <v/>
      </c>
      <c r="F18" s="68">
        <f>F8-F14-F17</f>
        <v/>
      </c>
    </row>
    <row r="19">
      <c r="A19" s="51" t="inlineStr">
        <is>
          <t>Total Equity</t>
        </is>
      </c>
      <c r="B19" s="57">
        <f>B17+B18</f>
        <v/>
      </c>
      <c r="C19" s="57">
        <f>C17+C18</f>
        <v/>
      </c>
      <c r="D19" s="57">
        <f>D17+D18</f>
        <v/>
      </c>
      <c r="E19" s="57">
        <f>E17+E18</f>
        <v/>
      </c>
      <c r="F19" s="57">
        <f>F17+F18</f>
        <v/>
      </c>
    </row>
    <row r="21">
      <c r="A21" s="46" t="inlineStr">
        <is>
          <t>Balance Check</t>
        </is>
      </c>
      <c r="B21" s="47" t="n"/>
      <c r="C21" s="47" t="n"/>
      <c r="D21" s="47" t="n"/>
      <c r="E21" s="47" t="n"/>
      <c r="F21" s="47" t="n"/>
    </row>
    <row r="22">
      <c r="A22" s="51" t="inlineStr">
        <is>
          <t>Total Liabilities + Equity</t>
        </is>
      </c>
      <c r="B22" s="57">
        <f>B14+B19</f>
        <v/>
      </c>
      <c r="C22" s="57">
        <f>C14+C19</f>
        <v/>
      </c>
      <c r="D22" s="57">
        <f>D14+D19</f>
        <v/>
      </c>
      <c r="E22" s="57">
        <f>E14+E19</f>
        <v/>
      </c>
      <c r="F22" s="57">
        <f>F14+F19</f>
        <v/>
      </c>
    </row>
    <row r="23">
      <c r="A23" s="69" t="inlineStr">
        <is>
          <t>Difference (must be 0)</t>
        </is>
      </c>
      <c r="B23" s="70">
        <f>B8-B22</f>
        <v/>
      </c>
      <c r="C23" s="70">
        <f>C8-C22</f>
        <v/>
      </c>
      <c r="D23" s="70">
        <f>D8-D22</f>
        <v/>
      </c>
      <c r="E23" s="70">
        <f>E8-E22</f>
        <v/>
      </c>
      <c r="F23" s="70">
        <f>F8-F22</f>
        <v/>
      </c>
    </row>
  </sheetData>
  <mergeCells count="5">
    <mergeCell ref="A16:F16"/>
    <mergeCell ref="A10:F10"/>
    <mergeCell ref="A1:F1"/>
    <mergeCell ref="A3:F3"/>
    <mergeCell ref="A21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39C12"/>
    <outlinePr summaryBelow="1" summaryRight="1"/>
    <pageSetUpPr/>
  </sheetPr>
  <dimension ref="A1:F2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3" t="inlineStr">
        <is>
          <t>RUBAN — Cash Flow Statement (₹ Cr)</t>
        </is>
      </c>
      <c r="B1" s="1" t="n"/>
      <c r="C1" s="1" t="n"/>
      <c r="D1" s="1" t="n"/>
      <c r="E1" s="1" t="n"/>
      <c r="F1" s="1" t="n"/>
    </row>
    <row r="2">
      <c r="A2" s="44" t="inlineStr"/>
      <c r="B2" s="44" t="inlineStr">
        <is>
          <t>Year 1</t>
        </is>
      </c>
      <c r="C2" s="44" t="inlineStr">
        <is>
          <t>Year 2</t>
        </is>
      </c>
      <c r="D2" s="44" t="inlineStr">
        <is>
          <t>Year 3</t>
        </is>
      </c>
      <c r="E2" s="44" t="inlineStr">
        <is>
          <t>Year 4</t>
        </is>
      </c>
      <c r="F2" s="44" t="inlineStr">
        <is>
          <t>Year 5</t>
        </is>
      </c>
    </row>
    <row r="3">
      <c r="A3" s="46" t="inlineStr">
        <is>
          <t>Cash from Operating Activities</t>
        </is>
      </c>
      <c r="B3" s="47" t="n"/>
      <c r="C3" s="47" t="n"/>
      <c r="D3" s="47" t="n"/>
      <c r="E3" s="47" t="n"/>
      <c r="F3" s="47" t="n"/>
    </row>
    <row r="4">
      <c r="A4" s="67" t="inlineStr">
        <is>
          <t>Net Income (PAT)</t>
        </is>
      </c>
      <c r="B4" s="68">
        <f>'P&amp;L'!B40</f>
        <v/>
      </c>
      <c r="C4" s="68">
        <f>'P&amp;L'!C40</f>
        <v/>
      </c>
      <c r="D4" s="68">
        <f>'P&amp;L'!D40</f>
        <v/>
      </c>
      <c r="E4" s="68">
        <f>'P&amp;L'!E40</f>
        <v/>
      </c>
      <c r="F4" s="68">
        <f>'P&amp;L'!F40</f>
        <v/>
      </c>
    </row>
    <row r="5">
      <c r="A5" s="71" t="inlineStr">
        <is>
          <t>(+) Depreciation &amp; Amortization</t>
        </is>
      </c>
      <c r="B5" s="68">
        <f>'P&amp;L'!B35</f>
        <v/>
      </c>
      <c r="C5" s="68">
        <f>'P&amp;L'!C35</f>
        <v/>
      </c>
      <c r="D5" s="68">
        <f>'P&amp;L'!D35</f>
        <v/>
      </c>
      <c r="E5" s="68">
        <f>'P&amp;L'!E35</f>
        <v/>
      </c>
      <c r="F5" s="68">
        <f>'P&amp;L'!F35</f>
        <v/>
      </c>
    </row>
    <row r="6">
      <c r="A6" s="48" t="inlineStr">
        <is>
          <t>(+/-) Working Capital Changes</t>
        </is>
      </c>
      <c r="B6" s="56" t="n">
        <v>-0.35</v>
      </c>
      <c r="C6" s="56" t="n">
        <v>-0.75</v>
      </c>
      <c r="D6" s="56" t="n">
        <v>-1.6</v>
      </c>
      <c r="E6" s="56" t="n">
        <v>-2.9</v>
      </c>
      <c r="F6" s="56" t="n">
        <v>-3.95</v>
      </c>
    </row>
    <row r="7">
      <c r="A7" s="51" t="inlineStr">
        <is>
          <t>Cash from Operations</t>
        </is>
      </c>
      <c r="B7" s="57">
        <f>B4+B5+B6</f>
        <v/>
      </c>
      <c r="C7" s="57">
        <f>C4+C5+C6</f>
        <v/>
      </c>
      <c r="D7" s="57">
        <f>D4+D5+D6</f>
        <v/>
      </c>
      <c r="E7" s="57">
        <f>E4+E5+E6</f>
        <v/>
      </c>
      <c r="F7" s="57">
        <f>F4+F5+F6</f>
        <v/>
      </c>
    </row>
    <row r="9">
      <c r="A9" s="46" t="inlineStr">
        <is>
          <t>Cash from Investing Activities</t>
        </is>
      </c>
      <c r="B9" s="47" t="n"/>
      <c r="C9" s="47" t="n"/>
      <c r="D9" s="47" t="n"/>
      <c r="E9" s="47" t="n"/>
      <c r="F9" s="47" t="n"/>
    </row>
    <row r="10">
      <c r="A10" s="48" t="inlineStr">
        <is>
          <t>Capital Expenditure</t>
        </is>
      </c>
      <c r="B10" s="56" t="n">
        <v>-0.35</v>
      </c>
      <c r="C10" s="56" t="n">
        <v>-1</v>
      </c>
      <c r="D10" s="56" t="n">
        <v>-2</v>
      </c>
      <c r="E10" s="56" t="n">
        <v>-2</v>
      </c>
      <c r="F10" s="56" t="n">
        <v>-2</v>
      </c>
    </row>
    <row r="11">
      <c r="A11" s="51" t="inlineStr">
        <is>
          <t>Cash from Investing</t>
        </is>
      </c>
      <c r="B11" s="57">
        <f>B10</f>
        <v/>
      </c>
      <c r="C11" s="57">
        <f>C10</f>
        <v/>
      </c>
      <c r="D11" s="57">
        <f>D10</f>
        <v/>
      </c>
      <c r="E11" s="57">
        <f>E10</f>
        <v/>
      </c>
      <c r="F11" s="57">
        <f>F10</f>
        <v/>
      </c>
    </row>
    <row r="13">
      <c r="A13" s="46" t="inlineStr">
        <is>
          <t>Cash from Financing Activities</t>
        </is>
      </c>
      <c r="B13" s="47" t="n"/>
      <c r="C13" s="47" t="n"/>
      <c r="D13" s="47" t="n"/>
      <c r="E13" s="47" t="n"/>
      <c r="F13" s="47" t="n"/>
    </row>
    <row r="14">
      <c r="A14" s="48" t="inlineStr">
        <is>
          <t>Equity Raised</t>
        </is>
      </c>
      <c r="B14" s="56" t="n">
        <v>3</v>
      </c>
      <c r="C14" s="56" t="n">
        <v>15</v>
      </c>
      <c r="D14" s="56" t="n">
        <v>0</v>
      </c>
      <c r="E14" s="56" t="n">
        <v>50</v>
      </c>
      <c r="F14" s="56" t="n">
        <v>0</v>
      </c>
    </row>
    <row r="15">
      <c r="A15" s="48" t="inlineStr">
        <is>
          <t>Net Debt (Drawn / Repaid)</t>
        </is>
      </c>
      <c r="B15" s="56" t="n">
        <v>0</v>
      </c>
      <c r="C15" s="56" t="n">
        <v>1</v>
      </c>
      <c r="D15" s="56" t="n">
        <v>0.5</v>
      </c>
      <c r="E15" s="56" t="n">
        <v>-1</v>
      </c>
      <c r="F15" s="56" t="n">
        <v>-0.5</v>
      </c>
    </row>
    <row r="16">
      <c r="A16" s="51" t="inlineStr">
        <is>
          <t>Cash from Financing</t>
        </is>
      </c>
      <c r="B16" s="57">
        <f>B14+B15</f>
        <v/>
      </c>
      <c r="C16" s="57">
        <f>C14+C15</f>
        <v/>
      </c>
      <c r="D16" s="57">
        <f>D14+D15</f>
        <v/>
      </c>
      <c r="E16" s="57">
        <f>E14+E15</f>
        <v/>
      </c>
      <c r="F16" s="57">
        <f>F14+F15</f>
        <v/>
      </c>
    </row>
    <row r="18">
      <c r="A18" s="46" t="inlineStr">
        <is>
          <t>Summary</t>
        </is>
      </c>
      <c r="B18" s="47" t="n"/>
      <c r="C18" s="47" t="n"/>
      <c r="D18" s="47" t="n"/>
      <c r="E18" s="47" t="n"/>
      <c r="F18" s="47" t="n"/>
    </row>
    <row r="19">
      <c r="A19" s="51" t="inlineStr">
        <is>
          <t>Net Cash Flow</t>
        </is>
      </c>
      <c r="B19" s="57">
        <f>B7+B11+B16</f>
        <v/>
      </c>
      <c r="C19" s="57">
        <f>C7+C11+C16</f>
        <v/>
      </c>
      <c r="D19" s="57">
        <f>D7+D11+D16</f>
        <v/>
      </c>
      <c r="E19" s="57">
        <f>E7+E11+E16</f>
        <v/>
      </c>
      <c r="F19" s="57">
        <f>F7+F11+F16</f>
        <v/>
      </c>
    </row>
    <row r="20">
      <c r="A20" s="65" t="inlineStr">
        <is>
          <t>Opening Cash Balance</t>
        </is>
      </c>
      <c r="B20" s="56" t="n">
        <v>0</v>
      </c>
      <c r="C20" s="56" t="n">
        <v>1.5</v>
      </c>
      <c r="D20" s="56" t="n">
        <v>9.800000000000001</v>
      </c>
      <c r="E20" s="56" t="n">
        <v>7.2</v>
      </c>
      <c r="F20" s="56" t="n">
        <v>41.5</v>
      </c>
    </row>
    <row r="21">
      <c r="A21" s="59" t="inlineStr">
        <is>
          <t>Closing Cash Balance</t>
        </is>
      </c>
      <c r="B21" s="60">
        <f>B20+B19</f>
        <v/>
      </c>
      <c r="C21" s="60">
        <f>C20+C19</f>
        <v/>
      </c>
      <c r="D21" s="60">
        <f>D20+D19</f>
        <v/>
      </c>
      <c r="E21" s="60">
        <f>E20+E19</f>
        <v/>
      </c>
      <c r="F21" s="60">
        <f>F20+F19</f>
        <v/>
      </c>
    </row>
  </sheetData>
  <mergeCells count="5">
    <mergeCell ref="A13:F13"/>
    <mergeCell ref="A1:F1"/>
    <mergeCell ref="A9:F9"/>
    <mergeCell ref="A18:F1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F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3" t="inlineStr">
        <is>
          <t>RUBAN — Unit Economics</t>
        </is>
      </c>
      <c r="B1" s="1" t="n"/>
      <c r="C1" s="1" t="n"/>
      <c r="D1" s="1" t="n"/>
      <c r="E1" s="1" t="n"/>
      <c r="F1" s="1" t="n"/>
    </row>
    <row r="2">
      <c r="A2" s="44" t="inlineStr"/>
      <c r="B2" s="44" t="inlineStr">
        <is>
          <t>Year 1</t>
        </is>
      </c>
      <c r="C2" s="44" t="inlineStr">
        <is>
          <t>Year 2</t>
        </is>
      </c>
      <c r="D2" s="44" t="inlineStr">
        <is>
          <t>Year 3</t>
        </is>
      </c>
      <c r="E2" s="44" t="inlineStr">
        <is>
          <t>Year 4</t>
        </is>
      </c>
      <c r="F2" s="44" t="inlineStr">
        <is>
          <t>Year 5</t>
        </is>
      </c>
    </row>
    <row r="3">
      <c r="A3" s="46" t="inlineStr">
        <is>
          <t>Blended Metrics</t>
        </is>
      </c>
      <c r="B3" s="47" t="n"/>
      <c r="C3" s="47" t="n"/>
      <c r="D3" s="47" t="n"/>
      <c r="E3" s="47" t="n"/>
      <c r="F3" s="47" t="n"/>
    </row>
    <row r="4">
      <c r="A4" s="65" t="inlineStr">
        <is>
          <t>Customer Acquisition Cost (₹)</t>
        </is>
      </c>
      <c r="B4" s="53" t="n">
        <v>1200</v>
      </c>
      <c r="C4" s="53" t="n">
        <v>950</v>
      </c>
      <c r="D4" s="53" t="n">
        <v>750</v>
      </c>
      <c r="E4" s="53" t="n">
        <v>600</v>
      </c>
      <c r="F4" s="53" t="n">
        <v>480</v>
      </c>
    </row>
    <row r="5">
      <c r="A5" s="65" t="inlineStr">
        <is>
          <t>Average Order Value (₹)</t>
        </is>
      </c>
      <c r="B5" s="53" t="n">
        <v>2800</v>
      </c>
      <c r="C5" s="53" t="n">
        <v>3100</v>
      </c>
      <c r="D5" s="53" t="n">
        <v>3400</v>
      </c>
      <c r="E5" s="53" t="n">
        <v>3600</v>
      </c>
      <c r="F5" s="53" t="n">
        <v>3800</v>
      </c>
    </row>
    <row r="6">
      <c r="A6" s="65" t="inlineStr">
        <is>
          <t>Lifetime Value (₹)</t>
        </is>
      </c>
      <c r="B6" s="53" t="n">
        <v>5800</v>
      </c>
      <c r="C6" s="53" t="n">
        <v>7200</v>
      </c>
      <c r="D6" s="53" t="n">
        <v>9500</v>
      </c>
      <c r="E6" s="53" t="n">
        <v>12000</v>
      </c>
      <c r="F6" s="53" t="n">
        <v>14500</v>
      </c>
    </row>
    <row r="7">
      <c r="A7" s="59" t="inlineStr">
        <is>
          <t>LTV / CAC Ratio</t>
        </is>
      </c>
      <c r="B7" s="72">
        <f>B6/B4</f>
        <v/>
      </c>
      <c r="C7" s="72">
        <f>C6/C4</f>
        <v/>
      </c>
      <c r="D7" s="72">
        <f>D6/D4</f>
        <v/>
      </c>
      <c r="E7" s="72">
        <f>E6/E4</f>
        <v/>
      </c>
      <c r="F7" s="72">
        <f>F6/F4</f>
        <v/>
      </c>
    </row>
    <row r="8">
      <c r="A8" s="65" t="inlineStr">
        <is>
          <t>Payback Period (Months)</t>
        </is>
      </c>
      <c r="B8" s="49" t="n">
        <v>8</v>
      </c>
      <c r="C8" s="49" t="n">
        <v>6</v>
      </c>
      <c r="D8" s="49" t="n">
        <v>5</v>
      </c>
      <c r="E8" s="49" t="n">
        <v>4</v>
      </c>
      <c r="F8" s="49" t="n">
        <v>3</v>
      </c>
    </row>
    <row r="9">
      <c r="A9" s="65" t="inlineStr">
        <is>
          <t>Repeat Purchase Rate</t>
        </is>
      </c>
      <c r="B9" s="55" t="n">
        <v>0.22</v>
      </c>
      <c r="C9" s="55" t="n">
        <v>0.3</v>
      </c>
      <c r="D9" s="55" t="n">
        <v>0.38</v>
      </c>
      <c r="E9" s="55" t="n">
        <v>0.44</v>
      </c>
      <c r="F9" s="55" t="n">
        <v>0.5</v>
      </c>
    </row>
    <row r="10">
      <c r="A10" s="65" t="inlineStr">
        <is>
          <t>Blended Churn Rate</t>
        </is>
      </c>
      <c r="B10" s="55" t="n">
        <v>0.35</v>
      </c>
      <c r="C10" s="55" t="n">
        <v>0.3</v>
      </c>
      <c r="D10" s="55" t="n">
        <v>0.25</v>
      </c>
      <c r="E10" s="55" t="n">
        <v>0.22</v>
      </c>
      <c r="F10" s="55" t="n">
        <v>0.2</v>
      </c>
    </row>
    <row r="12">
      <c r="A12" s="46" t="inlineStr">
        <is>
          <t>Churn Rate by Channel</t>
        </is>
      </c>
      <c r="B12" s="47" t="n"/>
      <c r="C12" s="47" t="n"/>
      <c r="D12" s="47" t="n"/>
      <c r="E12" s="47" t="n"/>
      <c r="F12" s="47" t="n"/>
    </row>
    <row r="13">
      <c r="A13" s="48" t="inlineStr">
        <is>
          <t>Website</t>
        </is>
      </c>
      <c r="B13" s="55" t="n">
        <v>0.35</v>
      </c>
      <c r="C13" s="55" t="n">
        <v>0.3</v>
      </c>
      <c r="D13" s="55" t="n">
        <v>0.25</v>
      </c>
      <c r="E13" s="55" t="n">
        <v>0.22</v>
      </c>
      <c r="F13" s="55" t="n">
        <v>0.2</v>
      </c>
    </row>
    <row r="14">
      <c r="A14" s="48" t="inlineStr">
        <is>
          <t>Retail</t>
        </is>
      </c>
      <c r="B14" s="55" t="n">
        <v>0</v>
      </c>
      <c r="C14" s="55" t="n">
        <v>0.2</v>
      </c>
      <c r="D14" s="55" t="n">
        <v>0.18</v>
      </c>
      <c r="E14" s="55" t="n">
        <v>0.15</v>
      </c>
      <c r="F14" s="55" t="n">
        <v>0.12</v>
      </c>
    </row>
    <row r="15">
      <c r="A15" s="48" t="inlineStr">
        <is>
          <t>Marketplace</t>
        </is>
      </c>
      <c r="B15" s="55" t="n">
        <v>0.4</v>
      </c>
      <c r="C15" s="55" t="n">
        <v>0.35</v>
      </c>
      <c r="D15" s="55" t="n">
        <v>0.3</v>
      </c>
      <c r="E15" s="55" t="n">
        <v>0.26</v>
      </c>
      <c r="F15" s="55" t="n">
        <v>0.22</v>
      </c>
    </row>
    <row r="17">
      <c r="A17" s="46" t="inlineStr">
        <is>
          <t>Contribution Margin per Order (₹)</t>
        </is>
      </c>
      <c r="B17" s="47" t="n"/>
      <c r="C17" s="47" t="n"/>
      <c r="D17" s="47" t="n"/>
      <c r="E17" s="47" t="n"/>
      <c r="F17" s="47" t="n"/>
    </row>
    <row r="18">
      <c r="A18" s="48" t="inlineStr">
        <is>
          <t>Website</t>
        </is>
      </c>
      <c r="B18" s="53" t="n">
        <v>680</v>
      </c>
      <c r="C18" s="53" t="n">
        <v>820</v>
      </c>
      <c r="D18" s="53" t="n">
        <v>1050</v>
      </c>
      <c r="E18" s="53" t="n">
        <v>1280</v>
      </c>
      <c r="F18" s="53" t="n">
        <v>1520</v>
      </c>
    </row>
    <row r="19">
      <c r="A19" s="48" t="inlineStr">
        <is>
          <t>Retail</t>
        </is>
      </c>
      <c r="B19" s="53" t="n">
        <v>0</v>
      </c>
      <c r="C19" s="53" t="n">
        <v>750</v>
      </c>
      <c r="D19" s="53" t="n">
        <v>980</v>
      </c>
      <c r="E19" s="53" t="n">
        <v>1200</v>
      </c>
      <c r="F19" s="53" t="n">
        <v>1450</v>
      </c>
    </row>
    <row r="20">
      <c r="A20" s="48" t="inlineStr">
        <is>
          <t>Marketplace</t>
        </is>
      </c>
      <c r="B20" s="53" t="n">
        <v>420</v>
      </c>
      <c r="C20" s="53" t="n">
        <v>560</v>
      </c>
      <c r="D20" s="53" t="n">
        <v>720</v>
      </c>
      <c r="E20" s="53" t="n">
        <v>900</v>
      </c>
      <c r="F20" s="53" t="n">
        <v>1080</v>
      </c>
    </row>
  </sheetData>
  <mergeCells count="4">
    <mergeCell ref="A3:F3"/>
    <mergeCell ref="A1:F1"/>
    <mergeCell ref="A12:F12"/>
    <mergeCell ref="A17:F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392B"/>
    <outlinePr summaryBelow="1" summaryRight="1"/>
    <pageSetUpPr/>
  </sheetPr>
  <dimension ref="A1:G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43" t="inlineStr">
        <is>
          <t>RUBAN — Fundraising &amp; Cap Table</t>
        </is>
      </c>
      <c r="B1" s="1" t="n"/>
      <c r="C1" s="1" t="n"/>
      <c r="D1" s="1" t="n"/>
      <c r="E1" s="1" t="n"/>
      <c r="F1" s="1" t="n"/>
      <c r="G1" s="1" t="n"/>
    </row>
    <row r="3">
      <c r="A3" s="46" t="inlineStr">
        <is>
          <t>Round Details (₹ Cr)</t>
        </is>
      </c>
      <c r="B3" s="47" t="n"/>
      <c r="C3" s="47" t="n"/>
      <c r="D3" s="47" t="n"/>
      <c r="E3" s="47" t="n"/>
      <c r="F3" s="47" t="n"/>
      <c r="G3" s="47" t="n"/>
    </row>
    <row r="4">
      <c r="A4" s="64" t="inlineStr">
        <is>
          <t>Round</t>
        </is>
      </c>
      <c r="B4" s="64" t="inlineStr">
        <is>
          <t>Timing</t>
        </is>
      </c>
      <c r="C4" s="64" t="inlineStr">
        <is>
          <t>Amount</t>
        </is>
      </c>
      <c r="D4" s="64" t="inlineStr">
        <is>
          <t>Pre-Money</t>
        </is>
      </c>
      <c r="E4" s="64" t="inlineStr">
        <is>
          <t>Post-Money</t>
        </is>
      </c>
      <c r="F4" s="64" t="inlineStr">
        <is>
          <t>Dilution</t>
        </is>
      </c>
      <c r="G4" s="64" t="inlineStr"/>
    </row>
    <row r="5">
      <c r="A5" s="73" t="inlineStr">
        <is>
          <t>Seed</t>
        </is>
      </c>
      <c r="B5" s="73" t="inlineStr">
        <is>
          <t>Y1</t>
        </is>
      </c>
      <c r="C5" s="74" t="n">
        <v>3</v>
      </c>
      <c r="D5" s="74" t="n">
        <v>12</v>
      </c>
      <c r="E5" s="74" t="n">
        <v>15</v>
      </c>
      <c r="F5" s="75" t="n">
        <v>0.2</v>
      </c>
      <c r="G5" s="76" t="n"/>
    </row>
    <row r="6">
      <c r="A6" s="73" t="inlineStr">
        <is>
          <t>Series A</t>
        </is>
      </c>
      <c r="B6" s="73" t="inlineStr">
        <is>
          <t>Y2</t>
        </is>
      </c>
      <c r="C6" s="74" t="n">
        <v>15</v>
      </c>
      <c r="D6" s="74" t="n">
        <v>60</v>
      </c>
      <c r="E6" s="74" t="n">
        <v>75</v>
      </c>
      <c r="F6" s="75" t="n">
        <v>0.2</v>
      </c>
      <c r="G6" s="76" t="n"/>
    </row>
    <row r="7">
      <c r="A7" s="73" t="inlineStr">
        <is>
          <t>Series B</t>
        </is>
      </c>
      <c r="B7" s="73" t="inlineStr">
        <is>
          <t>Y4</t>
        </is>
      </c>
      <c r="C7" s="74" t="n">
        <v>50</v>
      </c>
      <c r="D7" s="74" t="n">
        <v>250</v>
      </c>
      <c r="E7" s="74" t="n">
        <v>300</v>
      </c>
      <c r="F7" s="75" t="n">
        <v>0.167</v>
      </c>
      <c r="G7" s="76" t="n"/>
    </row>
    <row r="9">
      <c r="A9" s="46" t="inlineStr">
        <is>
          <t>Cap Table Evolution (%)</t>
        </is>
      </c>
      <c r="B9" s="47" t="n"/>
      <c r="C9" s="47" t="n"/>
      <c r="D9" s="47" t="n"/>
      <c r="E9" s="47" t="n"/>
      <c r="F9" s="47" t="n"/>
      <c r="G9" s="47" t="n"/>
    </row>
    <row r="10">
      <c r="A10" s="64" t="inlineStr">
        <is>
          <t>Shareholder</t>
        </is>
      </c>
      <c r="B10" s="64" t="inlineStr">
        <is>
          <t>Year 1</t>
        </is>
      </c>
      <c r="C10" s="64" t="inlineStr">
        <is>
          <t>Year 2</t>
        </is>
      </c>
      <c r="D10" s="64" t="inlineStr">
        <is>
          <t>Year 3</t>
        </is>
      </c>
      <c r="E10" s="64" t="inlineStr">
        <is>
          <t>Year 4</t>
        </is>
      </c>
      <c r="F10" s="64" t="inlineStr">
        <is>
          <t>Year 5</t>
        </is>
      </c>
      <c r="G10" s="64" t="inlineStr"/>
    </row>
    <row r="11">
      <c r="A11" s="65" t="inlineStr">
        <is>
          <t>Founders</t>
        </is>
      </c>
      <c r="B11" s="55" t="n">
        <v>0.8</v>
      </c>
      <c r="C11" s="55" t="n">
        <v>0.64</v>
      </c>
      <c r="D11" s="55" t="n">
        <v>0.512</v>
      </c>
      <c r="E11" s="55" t="n">
        <v>0.427</v>
      </c>
      <c r="F11" s="55" t="n">
        <v>0.427</v>
      </c>
    </row>
    <row r="12">
      <c r="A12" s="65" t="inlineStr">
        <is>
          <t>ESOP</t>
        </is>
      </c>
      <c r="B12" s="55" t="n">
        <v>0</v>
      </c>
      <c r="C12" s="55" t="n">
        <v>0.05</v>
      </c>
      <c r="D12" s="55" t="n">
        <v>0.08</v>
      </c>
      <c r="E12" s="55" t="n">
        <v>0.08</v>
      </c>
      <c r="F12" s="55" t="n">
        <v>0.1</v>
      </c>
    </row>
    <row r="13">
      <c r="A13" s="65" t="inlineStr">
        <is>
          <t>Seed Investors</t>
        </is>
      </c>
      <c r="B13" s="55" t="n">
        <v>0.2</v>
      </c>
      <c r="C13" s="55" t="n">
        <v>0.16</v>
      </c>
      <c r="D13" s="55" t="n">
        <v>0.128</v>
      </c>
      <c r="E13" s="55" t="n">
        <v>0.107</v>
      </c>
      <c r="F13" s="55" t="n">
        <v>0.107</v>
      </c>
    </row>
    <row r="14">
      <c r="A14" s="65" t="inlineStr">
        <is>
          <t>Series A</t>
        </is>
      </c>
      <c r="B14" s="55" t="n">
        <v>0</v>
      </c>
      <c r="C14" s="55" t="n">
        <v>0.15</v>
      </c>
      <c r="D14" s="55" t="n">
        <v>0.12</v>
      </c>
      <c r="E14" s="55" t="n">
        <v>0.1</v>
      </c>
      <c r="F14" s="55" t="n">
        <v>0.1</v>
      </c>
    </row>
    <row r="15">
      <c r="A15" s="65" t="inlineStr">
        <is>
          <t>Series B</t>
        </is>
      </c>
      <c r="B15" s="55" t="n">
        <v>0</v>
      </c>
      <c r="C15" s="55" t="n">
        <v>0</v>
      </c>
      <c r="D15" s="55" t="n">
        <v>0</v>
      </c>
      <c r="E15" s="55" t="n">
        <v>0.167</v>
      </c>
      <c r="F15" s="55" t="n">
        <v>0.167</v>
      </c>
    </row>
    <row r="16">
      <c r="A16" s="65" t="inlineStr">
        <is>
          <t>Others</t>
        </is>
      </c>
      <c r="B16" s="55" t="n">
        <v>0</v>
      </c>
      <c r="C16" s="55" t="n">
        <v>0</v>
      </c>
      <c r="D16" s="55" t="n">
        <v>0.16</v>
      </c>
      <c r="E16" s="55" t="n">
        <v>0.119</v>
      </c>
      <c r="F16" s="55" t="n">
        <v>0.099</v>
      </c>
    </row>
    <row r="17">
      <c r="A17" s="51" t="inlineStr">
        <is>
          <t>Total</t>
        </is>
      </c>
      <c r="B17" s="77">
        <f>SUM(B11:B16)</f>
        <v/>
      </c>
      <c r="C17" s="77">
        <f>SUM(C11:C16)</f>
        <v/>
      </c>
      <c r="D17" s="77">
        <f>SUM(D11:D16)</f>
        <v/>
      </c>
      <c r="E17" s="77">
        <f>SUM(E11:E16)</f>
        <v/>
      </c>
      <c r="F17" s="77">
        <f>SUM(F11:F16)</f>
        <v/>
      </c>
    </row>
    <row r="19">
      <c r="A19" s="46" t="inlineStr">
        <is>
          <t>Use of Funds (₹ Cr)</t>
        </is>
      </c>
      <c r="B19" s="47" t="n"/>
      <c r="C19" s="47" t="n"/>
      <c r="D19" s="47" t="n"/>
      <c r="E19" s="47" t="n"/>
      <c r="F19" s="47" t="n"/>
      <c r="G19" s="47" t="n"/>
    </row>
    <row r="20">
      <c r="A20" s="64" t="inlineStr">
        <is>
          <t>Category</t>
        </is>
      </c>
      <c r="B20" s="64" t="inlineStr">
        <is>
          <t>Seed</t>
        </is>
      </c>
      <c r="C20" s="64" t="inlineStr">
        <is>
          <t>Series A</t>
        </is>
      </c>
      <c r="D20" s="64" t="inlineStr">
        <is>
          <t>Series B</t>
        </is>
      </c>
      <c r="E20" s="64" t="inlineStr"/>
      <c r="F20" s="64" t="inlineStr"/>
      <c r="G20" s="64" t="inlineStr"/>
    </row>
    <row r="21">
      <c r="A21" s="65" t="inlineStr">
        <is>
          <t>Marketing</t>
        </is>
      </c>
      <c r="B21" s="56" t="n">
        <v>1</v>
      </c>
      <c r="C21" s="56" t="n">
        <v>5</v>
      </c>
      <c r="D21" s="56" t="n">
        <v>15</v>
      </c>
    </row>
    <row r="22">
      <c r="A22" s="65" t="inlineStr">
        <is>
          <t>Technology</t>
        </is>
      </c>
      <c r="B22" s="56" t="n">
        <v>0.8</v>
      </c>
      <c r="C22" s="56" t="n">
        <v>2.5</v>
      </c>
      <c r="D22" s="56" t="n">
        <v>8</v>
      </c>
    </row>
    <row r="23">
      <c r="A23" s="65" t="inlineStr">
        <is>
          <t>Team</t>
        </is>
      </c>
      <c r="B23" s="56" t="n">
        <v>0.6</v>
      </c>
      <c r="C23" s="56" t="n">
        <v>3</v>
      </c>
      <c r="D23" s="56" t="n">
        <v>10</v>
      </c>
    </row>
    <row r="24">
      <c r="A24" s="65" t="inlineStr">
        <is>
          <t>Inventory</t>
        </is>
      </c>
      <c r="B24" s="56" t="n">
        <v>0.4</v>
      </c>
      <c r="C24" s="56" t="n">
        <v>2.5</v>
      </c>
      <c r="D24" s="56" t="n">
        <v>10</v>
      </c>
    </row>
    <row r="25">
      <c r="A25" s="65" t="inlineStr">
        <is>
          <t>Working Capital</t>
        </is>
      </c>
      <c r="B25" s="56" t="n">
        <v>0.2</v>
      </c>
      <c r="C25" s="56" t="n">
        <v>2</v>
      </c>
      <c r="D25" s="56" t="n">
        <v>7</v>
      </c>
    </row>
    <row r="26">
      <c r="A26" s="51" t="inlineStr">
        <is>
          <t>Total</t>
        </is>
      </c>
      <c r="B26" s="57">
        <f>SUM(B21:B25)</f>
        <v/>
      </c>
      <c r="C26" s="57">
        <f>SUM(C21:C25)</f>
        <v/>
      </c>
      <c r="D26" s="57">
        <f>SUM(D21:D25)</f>
        <v/>
      </c>
    </row>
    <row r="28">
      <c r="A28" s="46" t="inlineStr">
        <is>
          <t>Investor Returns (Y5 Exit @ ₹680 Cr)</t>
        </is>
      </c>
      <c r="B28" s="47" t="n"/>
      <c r="C28" s="47" t="n"/>
      <c r="D28" s="47" t="n"/>
      <c r="E28" s="47" t="n"/>
      <c r="F28" s="47" t="n"/>
      <c r="G28" s="47" t="n"/>
    </row>
    <row r="29">
      <c r="A29" s="64" t="inlineStr">
        <is>
          <t>Round</t>
        </is>
      </c>
      <c r="B29" s="64" t="inlineStr">
        <is>
          <t>Invested</t>
        </is>
      </c>
      <c r="C29" s="64" t="inlineStr">
        <is>
          <t>Stake@Exit</t>
        </is>
      </c>
      <c r="D29" s="64" t="inlineStr">
        <is>
          <t>Return ₹Cr</t>
        </is>
      </c>
      <c r="E29" s="64" t="inlineStr">
        <is>
          <t>MOIC</t>
        </is>
      </c>
      <c r="F29" s="64" t="inlineStr">
        <is>
          <t>IRR</t>
        </is>
      </c>
      <c r="G29" s="64" t="inlineStr"/>
    </row>
    <row r="30">
      <c r="A30" s="73" t="inlineStr">
        <is>
          <t>Seed</t>
        </is>
      </c>
      <c r="B30" s="78" t="n">
        <v>3</v>
      </c>
      <c r="C30" s="75" t="n">
        <v>0.107</v>
      </c>
      <c r="D30" s="79" t="n">
        <v>72.8</v>
      </c>
      <c r="E30" s="80" t="n">
        <v>24.2</v>
      </c>
      <c r="F30" s="81" t="n">
        <v>0.82</v>
      </c>
      <c r="G30" s="76" t="n"/>
    </row>
    <row r="31">
      <c r="A31" s="73" t="inlineStr">
        <is>
          <t>Series A</t>
        </is>
      </c>
      <c r="B31" s="78" t="n">
        <v>15</v>
      </c>
      <c r="C31" s="75" t="n">
        <v>0.1</v>
      </c>
      <c r="D31" s="79" t="n">
        <v>68</v>
      </c>
      <c r="E31" s="80" t="n">
        <v>4.5</v>
      </c>
      <c r="F31" s="81" t="n">
        <v>0.65</v>
      </c>
      <c r="G31" s="76" t="n"/>
    </row>
    <row r="32">
      <c r="A32" s="73" t="inlineStr">
        <is>
          <t>Series B</t>
        </is>
      </c>
      <c r="B32" s="78" t="n">
        <v>50</v>
      </c>
      <c r="C32" s="75" t="n">
        <v>0.167</v>
      </c>
      <c r="D32" s="79" t="n">
        <v>113.6</v>
      </c>
      <c r="E32" s="80" t="n">
        <v>2.3</v>
      </c>
      <c r="F32" s="81" t="n">
        <v>0.68</v>
      </c>
      <c r="G32" s="76" t="n"/>
    </row>
    <row r="34">
      <c r="A34" s="46" t="inlineStr">
        <is>
          <t>Cash Runway</t>
        </is>
      </c>
      <c r="B34" s="47" t="n"/>
      <c r="C34" s="47" t="n"/>
      <c r="D34" s="47" t="n"/>
      <c r="E34" s="47" t="n"/>
      <c r="F34" s="47" t="n"/>
      <c r="G34" s="47" t="n"/>
    </row>
    <row r="35">
      <c r="A35" s="65" t="inlineStr">
        <is>
          <t>Monthly Burn (₹ Cr)</t>
        </is>
      </c>
      <c r="B35" s="56" t="n">
        <v>0.15</v>
      </c>
      <c r="C35" s="56" t="n">
        <v>0.25</v>
      </c>
      <c r="D35" s="56" t="n">
        <v>0.1</v>
      </c>
      <c r="E35" s="56" t="n">
        <v>0</v>
      </c>
      <c r="F35" s="56" t="n">
        <v>0</v>
      </c>
    </row>
    <row r="36">
      <c r="A36" s="82" t="inlineStr">
        <is>
          <t>Runway (Months)</t>
        </is>
      </c>
      <c r="B36" s="83" t="n">
        <v>20</v>
      </c>
      <c r="C36" s="83" t="n">
        <v>39</v>
      </c>
      <c r="D36" s="83" t="n">
        <v>72</v>
      </c>
      <c r="E36" s="84" t="inlineStr">
        <is>
          <t>Profitable</t>
        </is>
      </c>
      <c r="F36" s="84" t="inlineStr">
        <is>
          <t>Profitable</t>
        </is>
      </c>
    </row>
  </sheetData>
  <mergeCells count="6">
    <mergeCell ref="A1:G1"/>
    <mergeCell ref="A9:G9"/>
    <mergeCell ref="A3:G3"/>
    <mergeCell ref="A34:G34"/>
    <mergeCell ref="A19:G19"/>
    <mergeCell ref="A28:G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Year 1</t>
        </is>
      </c>
      <c r="C1" t="inlineStr">
        <is>
          <t>Year 2</t>
        </is>
      </c>
      <c r="D1" t="inlineStr">
        <is>
          <t>Year 3</t>
        </is>
      </c>
      <c r="E1" t="inlineStr">
        <is>
          <t>Year 4</t>
        </is>
      </c>
      <c r="F1" t="inlineStr">
        <is>
          <t>Year 5</t>
        </is>
      </c>
    </row>
    <row r="2">
      <c r="A2" t="inlineStr">
        <is>
          <t>Website</t>
        </is>
      </c>
      <c r="B2" t="n">
        <v>1.2</v>
      </c>
      <c r="C2" t="n">
        <v>3.4</v>
      </c>
      <c r="D2" t="n">
        <v>8.800000000000001</v>
      </c>
      <c r="E2" t="n">
        <v>16.8</v>
      </c>
      <c r="F2" t="n">
        <v>27.2</v>
      </c>
    </row>
    <row r="3">
      <c r="A3" t="inlineStr">
        <is>
          <t>Retail</t>
        </is>
      </c>
      <c r="B3" t="n">
        <v>0</v>
      </c>
      <c r="C3" t="n">
        <v>1.7</v>
      </c>
      <c r="D3" t="n">
        <v>6.6</v>
      </c>
      <c r="E3" t="n">
        <v>16.8</v>
      </c>
      <c r="F3" t="n">
        <v>32.3</v>
      </c>
    </row>
    <row r="4">
      <c r="A4" t="inlineStr">
        <is>
          <t>Marketplace</t>
        </is>
      </c>
      <c r="B4" t="n">
        <v>1.2</v>
      </c>
      <c r="C4" t="n">
        <v>3.4</v>
      </c>
      <c r="D4" t="n">
        <v>6.6</v>
      </c>
      <c r="E4" t="n">
        <v>14.4</v>
      </c>
      <c r="F4" t="n">
        <v>25.5</v>
      </c>
    </row>
    <row r="5">
      <c r="A5" t="inlineStr">
        <is>
          <t>Total</t>
        </is>
      </c>
      <c r="B5" t="n">
        <v>2.4</v>
      </c>
      <c r="C5" t="n">
        <v>8.5</v>
      </c>
      <c r="D5" t="n">
        <v>22</v>
      </c>
      <c r="E5" t="n">
        <v>48</v>
      </c>
      <c r="F5" t="n">
        <v>85</v>
      </c>
    </row>
    <row r="7">
      <c r="A7" t="inlineStr">
        <is>
          <t>Channel</t>
        </is>
      </c>
      <c r="B7" t="inlineStr">
        <is>
          <t>Revenue Y5</t>
        </is>
      </c>
    </row>
    <row r="8">
      <c r="A8" t="inlineStr">
        <is>
          <t>Website</t>
        </is>
      </c>
      <c r="B8" t="n">
        <v>27.2</v>
      </c>
    </row>
    <row r="9">
      <c r="A9" t="inlineStr">
        <is>
          <t>Retail</t>
        </is>
      </c>
      <c r="B9" t="n">
        <v>32.3</v>
      </c>
    </row>
    <row r="10">
      <c r="A10" t="inlineStr">
        <is>
          <t>Marketplace</t>
        </is>
      </c>
      <c r="B10" t="n">
        <v>25.5</v>
      </c>
    </row>
    <row r="12">
      <c r="A12" t="inlineStr">
        <is>
          <t>Metric</t>
        </is>
      </c>
      <c r="B12" t="inlineStr">
        <is>
          <t>Value</t>
        </is>
      </c>
    </row>
    <row r="13">
      <c r="A13" t="inlineStr">
        <is>
          <t>Gross Margin</t>
        </is>
      </c>
      <c r="B13" t="n">
        <v>0.58</v>
      </c>
    </row>
    <row r="14">
      <c r="A14" t="inlineStr">
        <is>
          <t>EBITDA Margin</t>
        </is>
      </c>
      <c r="B14" t="n">
        <v>0.18</v>
      </c>
    </row>
    <row r="15">
      <c r="A15" t="inlineStr">
        <is>
          <t>Net Margin</t>
        </is>
      </c>
      <c r="B15" t="n">
        <v>0.287</v>
      </c>
    </row>
    <row r="17">
      <c r="A17" t="inlineStr">
        <is>
          <t>Year</t>
        </is>
      </c>
      <c r="B17" t="inlineStr">
        <is>
          <t>Year 1</t>
        </is>
      </c>
      <c r="C17" t="inlineStr">
        <is>
          <t>Year 2</t>
        </is>
      </c>
      <c r="D17" t="inlineStr">
        <is>
          <t>Year 3</t>
        </is>
      </c>
      <c r="E17" t="inlineStr">
        <is>
          <t>Year 4</t>
        </is>
      </c>
      <c r="F17" t="inlineStr">
        <is>
          <t>Year 5</t>
        </is>
      </c>
    </row>
    <row r="18">
      <c r="A18" t="inlineStr">
        <is>
          <t>Website</t>
        </is>
      </c>
      <c r="B18" t="n">
        <v>1800</v>
      </c>
      <c r="C18" t="n">
        <v>5500</v>
      </c>
      <c r="D18" t="n">
        <v>14000</v>
      </c>
      <c r="E18" t="n">
        <v>25200</v>
      </c>
      <c r="F18" t="n">
        <v>39600</v>
      </c>
    </row>
    <row r="19">
      <c r="A19" t="inlineStr">
        <is>
          <t>Retail</t>
        </is>
      </c>
      <c r="B19" t="n">
        <v>0</v>
      </c>
      <c r="C19" t="n">
        <v>2000</v>
      </c>
      <c r="D19" t="n">
        <v>7000</v>
      </c>
      <c r="E19" t="n">
        <v>18000</v>
      </c>
      <c r="F19" t="n">
        <v>33600</v>
      </c>
    </row>
    <row r="20">
      <c r="A20" t="inlineStr">
        <is>
          <t>Marketplace</t>
        </is>
      </c>
      <c r="B20" t="n">
        <v>1400</v>
      </c>
      <c r="C20" t="n">
        <v>5000</v>
      </c>
      <c r="D20" t="n">
        <v>14000</v>
      </c>
      <c r="E20" t="n">
        <v>28800</v>
      </c>
      <c r="F20" t="n">
        <v>46800</v>
      </c>
    </row>
    <row r="22">
      <c r="A22" t="inlineStr">
        <is>
          <t>Stage</t>
        </is>
      </c>
      <c r="B22" t="inlineStr">
        <is>
          <t>Count</t>
        </is>
      </c>
    </row>
    <row r="23">
      <c r="A23" t="inlineStr">
        <is>
          <t>Visitors</t>
        </is>
      </c>
      <c r="B23" t="n">
        <v>2400000</v>
      </c>
    </row>
    <row r="24">
      <c r="A24" t="inlineStr">
        <is>
          <t>Leads</t>
        </is>
      </c>
      <c r="B24" t="n">
        <v>480000</v>
      </c>
    </row>
    <row r="25">
      <c r="A25" t="inlineStr">
        <is>
          <t>Customers</t>
        </is>
      </c>
      <c r="B25" t="n">
        <v>120000</v>
      </c>
    </row>
    <row r="26">
      <c r="A26" t="inlineStr">
        <is>
          <t>Repeat</t>
        </is>
      </c>
      <c r="B26" t="n">
        <v>60000</v>
      </c>
    </row>
    <row r="28">
      <c r="A28" t="inlineStr">
        <is>
          <t>Category</t>
        </is>
      </c>
      <c r="B28" t="inlineStr">
        <is>
          <t>Amount</t>
        </is>
      </c>
    </row>
    <row r="29">
      <c r="A29" t="inlineStr">
        <is>
          <t>Marketing</t>
        </is>
      </c>
      <c r="B29" t="n">
        <v>15</v>
      </c>
    </row>
    <row r="30">
      <c r="A30" t="inlineStr">
        <is>
          <t>Technology</t>
        </is>
      </c>
      <c r="B30" t="n">
        <v>8</v>
      </c>
    </row>
    <row r="31">
      <c r="A31" t="inlineStr">
        <is>
          <t>Team</t>
        </is>
      </c>
      <c r="B31" t="n">
        <v>10</v>
      </c>
    </row>
    <row r="32">
      <c r="A32" t="inlineStr">
        <is>
          <t>Inventory</t>
        </is>
      </c>
      <c r="B32" t="n">
        <v>10</v>
      </c>
    </row>
    <row r="33">
      <c r="A33" t="inlineStr">
        <is>
          <t>Working Capital</t>
        </is>
      </c>
      <c r="B33" t="n">
        <v>7</v>
      </c>
    </row>
    <row r="35">
      <c r="A35" t="inlineStr">
        <is>
          <t>Holder</t>
        </is>
      </c>
      <c r="B35" t="inlineStr">
        <is>
          <t>Stake %</t>
        </is>
      </c>
    </row>
    <row r="36">
      <c r="A36" t="inlineStr">
        <is>
          <t>Founders</t>
        </is>
      </c>
      <c r="B36" t="n">
        <v>42.7</v>
      </c>
    </row>
    <row r="37">
      <c r="A37" t="inlineStr">
        <is>
          <t>ESOP</t>
        </is>
      </c>
      <c r="B37" t="n">
        <v>10</v>
      </c>
    </row>
    <row r="38">
      <c r="A38" t="inlineStr">
        <is>
          <t>Seed Investors</t>
        </is>
      </c>
      <c r="B38" t="n">
        <v>10.7</v>
      </c>
    </row>
    <row r="39">
      <c r="A39" t="inlineStr">
        <is>
          <t>Series A</t>
        </is>
      </c>
      <c r="B39" t="n">
        <v>10</v>
      </c>
    </row>
    <row r="40">
      <c r="A40" t="inlineStr">
        <is>
          <t>Series B</t>
        </is>
      </c>
      <c r="B40" t="n">
        <v>16.7</v>
      </c>
    </row>
    <row r="41">
      <c r="A41" t="inlineStr">
        <is>
          <t>Others</t>
        </is>
      </c>
      <c r="B41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2026-02-28T14:17:23Z</dcterms:created>
  <dcterms:modified xmlns:dcterms="http://purl.org/dc/terms/" xmlns:xsi="http://www.w3.org/2001/XMLSchema-instance" xsi:type="dcterms:W3CDTF">2026-02-28T14:17:23Z</dcterms:modified>
</cp:coreProperties>
</file>