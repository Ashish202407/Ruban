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tup" sheetId="1" state="visible" r:id="rId1"/>
    <sheet xmlns:r="http://schemas.openxmlformats.org/officeDocument/2006/relationships" name="Checklist" sheetId="2" state="visible" r:id="rId2"/>
    <sheet xmlns:r="http://schemas.openxmlformats.org/officeDocument/2006/relationships" name="AI-SaaS" sheetId="3" state="visible" r:id="rId3"/>
    <sheet xmlns:r="http://schemas.openxmlformats.org/officeDocument/2006/relationships" name="D2C" sheetId="4" state="visible" r:id="rId4"/>
    <sheet xmlns:r="http://schemas.openxmlformats.org/officeDocument/2006/relationships" name="Healthcar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x"/>
    <numFmt numFmtId="166" formatCode="0.0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i val="1"/>
      <color rgb="00808080"/>
      <sz val="10"/>
    </font>
    <font>
      <name val="Calibri"/>
      <color rgb="00333333"/>
      <sz val="10"/>
    </font>
    <font>
      <name val="Calibri"/>
      <color rgb="002566B0"/>
      <sz val="10"/>
    </font>
    <font>
      <name val="Calibri"/>
      <b val="1"/>
      <color rgb="00FFFFFF"/>
      <sz val="10"/>
    </font>
    <font>
      <name val="Calibri"/>
      <b val="1"/>
      <color rgb="00FFFFFF"/>
      <sz val="11"/>
    </font>
    <font>
      <color rgb="00FFFFFF"/>
      <sz val="1"/>
    </font>
    <font>
      <name val="Calibri"/>
      <b val="1"/>
      <color rgb="00333333"/>
      <sz val="10"/>
    </font>
    <font>
      <name val="Calibri"/>
      <b val="1"/>
      <color rgb="001A1A1A"/>
      <sz val="10"/>
    </font>
    <font>
      <name val="Calibri"/>
      <color rgb="001A1A1A"/>
      <sz val="10"/>
    </font>
  </fonts>
  <fills count="6">
    <fill>
      <patternFill/>
    </fill>
    <fill>
      <patternFill patternType="gray125"/>
    </fill>
    <fill>
      <patternFill patternType="solid">
        <fgColor rgb="00333333"/>
      </patternFill>
    </fill>
    <fill>
      <patternFill patternType="solid">
        <fgColor rgb="00F7F7F7"/>
      </patternFill>
    </fill>
    <fill>
      <patternFill patternType="solid">
        <fgColor rgb="00F2F2F2"/>
      </patternFill>
    </fill>
    <fill>
      <patternFill patternType="solid">
        <fgColor rgb="00D9D9D9"/>
      </patternFill>
    </fill>
  </fills>
  <borders count="7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bottom style="thin">
        <color rgb="00808080"/>
      </bottom>
    </border>
    <border>
      <bottom style="medium">
        <color rgb="00333333"/>
      </bottom>
    </border>
    <border>
      <top style="thin">
        <color rgb="00808080"/>
      </top>
      <bottom style="thin">
        <color rgb="00808080"/>
      </bottom>
    </border>
    <border>
      <top style="thin">
        <color rgb="00333333"/>
      </top>
      <bottom style="double">
        <color rgb="00333333"/>
      </bottom>
    </border>
    <border>
      <left/>
      <right/>
      <top/>
      <bottom style="medium">
        <color rgb="00333333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2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3" borderId="0" applyAlignment="1" pivotButton="0" quotePrefix="0" xfId="0">
      <alignment horizontal="left" vertical="center"/>
    </xf>
    <xf numFmtId="0" fontId="4" fillId="3" borderId="1" applyAlignment="1" pivotButton="0" quotePrefix="0" xfId="0">
      <alignment horizontal="left" vertical="center"/>
    </xf>
    <xf numFmtId="0" fontId="5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0" fontId="6" fillId="2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left" vertical="center"/>
    </xf>
    <xf numFmtId="0" fontId="4" fillId="4" borderId="1" applyAlignment="1" pivotButton="0" quotePrefix="0" xfId="0">
      <alignment horizontal="center" vertical="center" wrapText="1"/>
    </xf>
    <xf numFmtId="0" fontId="7" fillId="4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 wrapText="1"/>
    </xf>
    <xf numFmtId="0" fontId="7" fillId="0" borderId="0" pivotButton="0" quotePrefix="0" xfId="0"/>
    <xf numFmtId="0" fontId="8" fillId="5" borderId="3" applyAlignment="1" pivotButton="0" quotePrefix="0" xfId="0">
      <alignment horizontal="left" vertical="center"/>
    </xf>
    <xf numFmtId="0" fontId="0" fillId="5" borderId="3" pivotButton="0" quotePrefix="0" xfId="0"/>
    <xf numFmtId="0" fontId="4" fillId="0" borderId="0" applyAlignment="1" pivotButton="0" quotePrefix="0" xfId="0">
      <alignment horizontal="left" vertical="center" indent="2"/>
    </xf>
    <xf numFmtId="4" fontId="4" fillId="0" borderId="0" applyAlignment="1" pivotButton="0" quotePrefix="0" xfId="0">
      <alignment horizontal="right" vertical="center"/>
    </xf>
    <xf numFmtId="0" fontId="9" fillId="4" borderId="4" applyAlignment="1" pivotButton="0" quotePrefix="0" xfId="0">
      <alignment horizontal="left" vertical="center"/>
    </xf>
    <xf numFmtId="4" fontId="9" fillId="4" borderId="4" applyAlignment="1" pivotButton="0" quotePrefix="0" xfId="0">
      <alignment horizontal="right" vertical="center"/>
    </xf>
    <xf numFmtId="0" fontId="8" fillId="4" borderId="5" applyAlignment="1" pivotButton="0" quotePrefix="0" xfId="0">
      <alignment horizontal="left" vertical="center"/>
    </xf>
    <xf numFmtId="3" fontId="8" fillId="4" borderId="5" applyAlignment="1" pivotButton="0" quotePrefix="0" xfId="0">
      <alignment horizontal="right" vertical="center"/>
    </xf>
    <xf numFmtId="3" fontId="4" fillId="0" borderId="0" applyAlignment="1" pivotButton="0" quotePrefix="0" xfId="0">
      <alignment horizontal="right" vertical="center"/>
    </xf>
    <xf numFmtId="3" fontId="9" fillId="4" borderId="4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164" fontId="2" fillId="0" borderId="0" applyAlignment="1" pivotButton="0" quotePrefix="0" xfId="0">
      <alignment horizontal="right" vertical="center"/>
    </xf>
    <xf numFmtId="164" fontId="4" fillId="0" borderId="0" applyAlignment="1" pivotButton="0" quotePrefix="0" xfId="0">
      <alignment horizontal="right" vertical="center"/>
    </xf>
    <xf numFmtId="0" fontId="10" fillId="0" borderId="0" applyAlignment="1" pivotButton="0" quotePrefix="0" xfId="0">
      <alignment horizontal="left" vertical="center"/>
    </xf>
    <xf numFmtId="4" fontId="10" fillId="0" borderId="0" applyAlignment="1" pivotButton="0" quotePrefix="0" xfId="0">
      <alignment horizontal="right" vertical="center"/>
    </xf>
    <xf numFmtId="165" fontId="10" fillId="0" borderId="0" applyAlignment="1" pivotButton="0" quotePrefix="0" xfId="0">
      <alignment horizontal="right" vertical="center"/>
    </xf>
    <xf numFmtId="166" fontId="10" fillId="0" borderId="0" applyAlignment="1" pivotButton="0" quotePrefix="0" xfId="0">
      <alignment horizontal="right" vertical="center"/>
    </xf>
    <xf numFmtId="164" fontId="9" fillId="4" borderId="4" applyAlignment="1" pivotButton="0" quotePrefix="0" xfId="0">
      <alignment horizontal="right" vertical="center"/>
    </xf>
    <xf numFmtId="165" fontId="9" fillId="4" borderId="4" applyAlignment="1" pivotButton="0" quotePrefix="0" xfId="0">
      <alignment horizontal="right" vertical="center"/>
    </xf>
    <xf numFmtId="2" fontId="9" fillId="4" borderId="4" applyAlignment="1" pivotButton="0" quotePrefix="0" xfId="0">
      <alignment horizontal="right" vertical="center"/>
    </xf>
    <xf numFmtId="4" fontId="8" fillId="4" borderId="5" applyAlignment="1" pivotButton="0" quotePrefix="0" xfId="0">
      <alignment horizontal="right" vertical="center"/>
    </xf>
    <xf numFmtId="166" fontId="9" fillId="4" borderId="4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/>
    </xf>
    <xf numFmtId="49" fontId="4" fillId="0" borderId="0" applyAlignment="1" pivotButton="0" quotePrefix="0" xfId="0">
      <alignment horizontal="right" vertical="center"/>
    </xf>
    <xf numFmtId="0" fontId="8" fillId="0" borderId="0" pivotButton="0" quotePrefix="0" xfId="0"/>
    <xf numFmtId="0" fontId="4" fillId="0" borderId="0" applyAlignment="1" pivotButton="0" quotePrefix="0" xfId="0">
      <alignment horizontal="left" vertical="center" indent="4"/>
    </xf>
    <xf numFmtId="166" fontId="4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 indent="2"/>
    </xf>
    <xf numFmtId="0" fontId="0" fillId="0" borderId="6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333333"/>
    <outlinePr summaryBelow="1" summaryRight="1"/>
    <pageSetUpPr/>
  </sheetPr>
  <dimension ref="A1:D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30" customWidth="1" min="2" max="2"/>
    <col width="5" customWidth="1" min="3" max="3"/>
    <col width="5" customWidth="1" min="4" max="4"/>
  </cols>
  <sheetData>
    <row r="1">
      <c r="A1" s="1" t="inlineStr">
        <is>
          <t>RUBAN — Company Setup</t>
        </is>
      </c>
    </row>
    <row r="2">
      <c r="A2" s="3" t="inlineStr">
        <is>
          <t>Fill in your company details below. These drive the template and dashboard.</t>
        </is>
      </c>
    </row>
    <row r="3">
      <c r="A3" s="4" t="inlineStr">
        <is>
          <t>Company Name</t>
        </is>
      </c>
      <c r="B3" s="5" t="inlineStr">
        <is>
          <t>NeuralForge AI</t>
        </is>
      </c>
    </row>
    <row r="4">
      <c r="A4" s="4" t="inlineStr">
        <is>
          <t>Business Type</t>
        </is>
      </c>
      <c r="B4" s="5" t="inlineStr">
        <is>
          <t>AI-SaaS</t>
        </is>
      </c>
    </row>
    <row r="5">
      <c r="A5" s="4" t="inlineStr">
        <is>
          <t>Currency</t>
        </is>
      </c>
      <c r="B5" s="5" t="inlineStr">
        <is>
          <t>USD</t>
        </is>
      </c>
    </row>
    <row r="6">
      <c r="A6" s="4" t="inlineStr">
        <is>
          <t>FY Start Month</t>
        </is>
      </c>
      <c r="B6" s="5" t="inlineStr">
        <is>
          <t>January</t>
        </is>
      </c>
    </row>
  </sheetData>
  <mergeCells count="2">
    <mergeCell ref="A1:D1"/>
    <mergeCell ref="A2:B2"/>
  </mergeCells>
  <dataValidations count="3">
    <dataValidation sqref="B4" showDropDown="0" showInputMessage="0" showErrorMessage="0" allowBlank="0" errorTitle="Invalid Business Type" error="Please select AI-SaaS, D2C, or Healthcare" promptTitle="Business Type" prompt="Select your business type" type="list">
      <formula1>"AI-SaaS,D2C,Healthcare"</formula1>
    </dataValidation>
    <dataValidation sqref="B5" showDropDown="0" showInputMessage="0" showErrorMessage="0" allowBlank="0" errorTitle="Invalid Currency" error="Please select a valid currency" type="list">
      <formula1>"INR,USD,EUR,GBP"</formula1>
    </dataValidation>
    <dataValidation sqref="B6" showDropDown="0" showInputMessage="0" showErrorMessage="0" allowBlank="0" errorTitle="Invalid Month" error="Please select a month" type="list">
      <formula1>"January,February,March,April,May,June,July,August,September,October,November,December"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6B6B6B"/>
    <outlinePr summaryBelow="1" summaryRight="1"/>
    <pageSetUpPr/>
  </sheetPr>
  <dimension ref="A1:E3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32" customWidth="1" min="3" max="3"/>
    <col width="12" customWidth="1" min="4" max="4"/>
    <col width="5" customWidth="1" min="5" max="5"/>
  </cols>
  <sheetData>
    <row r="1">
      <c r="A1" s="1" t="inlineStr">
        <is>
          <t>RUBAN — Section Checklist</t>
        </is>
      </c>
    </row>
    <row r="2">
      <c r="A2" s="6" t="inlineStr">
        <is>
          <t>Sector</t>
        </is>
      </c>
      <c r="B2" s="6" t="inlineStr">
        <is>
          <t>Category</t>
        </is>
      </c>
      <c r="C2" s="6" t="inlineStr">
        <is>
          <t>Section Name</t>
        </is>
      </c>
      <c r="D2" s="6" t="inlineStr">
        <is>
          <t>Include?</t>
        </is>
      </c>
      <c r="E2" s="7" t="n"/>
    </row>
    <row r="3">
      <c r="A3" s="8" t="inlineStr">
        <is>
          <t>AI-SaaS</t>
        </is>
      </c>
    </row>
    <row r="4">
      <c r="A4" s="9" t="inlineStr">
        <is>
          <t>AI-SaaS</t>
        </is>
      </c>
      <c r="B4" s="9" t="inlineStr">
        <is>
          <t>Revenue</t>
        </is>
      </c>
      <c r="C4" s="9" t="inlineStr">
        <is>
          <t>MRR &amp; ARR Progression</t>
        </is>
      </c>
      <c r="D4" s="10" t="inlineStr">
        <is>
          <t>Yes</t>
        </is>
      </c>
      <c r="E4" s="11" t="inlineStr">
        <is>
          <t>saas_mrr_arr</t>
        </is>
      </c>
    </row>
    <row r="5">
      <c r="A5" s="12" t="inlineStr">
        <is>
          <t>AI-SaaS</t>
        </is>
      </c>
      <c r="B5" s="12" t="inlineStr">
        <is>
          <t>Revenue</t>
        </is>
      </c>
      <c r="C5" s="12" t="inlineStr">
        <is>
          <t>Revenue by Plan/Tier</t>
        </is>
      </c>
      <c r="D5" s="13" t="inlineStr">
        <is>
          <t>Yes</t>
        </is>
      </c>
      <c r="E5" s="14" t="inlineStr">
        <is>
          <t>saas_revenue_plan</t>
        </is>
      </c>
    </row>
    <row r="6">
      <c r="A6" s="9" t="inlineStr">
        <is>
          <t>AI-SaaS</t>
        </is>
      </c>
      <c r="B6" s="9" t="inlineStr">
        <is>
          <t>Retention</t>
        </is>
      </c>
      <c r="C6" s="9" t="inlineStr">
        <is>
          <t>Churn &amp; Retention</t>
        </is>
      </c>
      <c r="D6" s="10" t="inlineStr">
        <is>
          <t>Yes</t>
        </is>
      </c>
      <c r="E6" s="11" t="inlineStr">
        <is>
          <t>saas_churn_retention</t>
        </is>
      </c>
    </row>
    <row r="7">
      <c r="A7" s="12" t="inlineStr">
        <is>
          <t>AI-SaaS</t>
        </is>
      </c>
      <c r="B7" s="12" t="inlineStr">
        <is>
          <t>Retention</t>
        </is>
      </c>
      <c r="C7" s="12" t="inlineStr">
        <is>
          <t>Net Dollar Retention</t>
        </is>
      </c>
      <c r="D7" s="13" t="inlineStr">
        <is>
          <t>Yes</t>
        </is>
      </c>
      <c r="E7" s="14" t="inlineStr">
        <is>
          <t>saas_ndr</t>
        </is>
      </c>
    </row>
    <row r="8">
      <c r="A8" s="9" t="inlineStr">
        <is>
          <t>AI-SaaS</t>
        </is>
      </c>
      <c r="B8" s="9" t="inlineStr">
        <is>
          <t>Unit Economics</t>
        </is>
      </c>
      <c r="C8" s="9" t="inlineStr">
        <is>
          <t>CAC &amp; LTV</t>
        </is>
      </c>
      <c r="D8" s="10" t="inlineStr">
        <is>
          <t>Yes</t>
        </is>
      </c>
      <c r="E8" s="11" t="inlineStr">
        <is>
          <t>saas_cac_ltv</t>
        </is>
      </c>
    </row>
    <row r="9">
      <c r="A9" s="12" t="inlineStr">
        <is>
          <t>AI-SaaS</t>
        </is>
      </c>
      <c r="B9" s="12" t="inlineStr">
        <is>
          <t>Efficiency</t>
        </is>
      </c>
      <c r="C9" s="12" t="inlineStr">
        <is>
          <t>Rule of 40 &amp; Burn Multiple</t>
        </is>
      </c>
      <c r="D9" s="13" t="inlineStr">
        <is>
          <t>Yes</t>
        </is>
      </c>
      <c r="E9" s="14" t="inlineStr">
        <is>
          <t>saas_rule_of_40</t>
        </is>
      </c>
    </row>
    <row r="10">
      <c r="A10" s="9" t="inlineStr">
        <is>
          <t>AI-SaaS</t>
        </is>
      </c>
      <c r="B10" s="9" t="inlineStr">
        <is>
          <t>Efficiency</t>
        </is>
      </c>
      <c r="C10" s="9" t="inlineStr">
        <is>
          <t>Sales Efficiency</t>
        </is>
      </c>
      <c r="D10" s="10" t="inlineStr">
        <is>
          <t>Yes</t>
        </is>
      </c>
      <c r="E10" s="11" t="inlineStr">
        <is>
          <t>saas_sales_efficiency</t>
        </is>
      </c>
    </row>
    <row r="11">
      <c r="A11" s="12" t="inlineStr">
        <is>
          <t>AI-SaaS</t>
        </is>
      </c>
      <c r="B11" s="12" t="inlineStr">
        <is>
          <t>Financials</t>
        </is>
      </c>
      <c r="C11" s="12" t="inlineStr">
        <is>
          <t>P&amp;L Summary</t>
        </is>
      </c>
      <c r="D11" s="13" t="inlineStr">
        <is>
          <t>Yes</t>
        </is>
      </c>
      <c r="E11" s="14" t="inlineStr">
        <is>
          <t>saas_pnl</t>
        </is>
      </c>
    </row>
    <row r="12">
      <c r="A12" s="9" t="inlineStr">
        <is>
          <t>AI-SaaS</t>
        </is>
      </c>
      <c r="B12" s="9" t="inlineStr">
        <is>
          <t>Financials</t>
        </is>
      </c>
      <c r="C12" s="9" t="inlineStr">
        <is>
          <t>Cash &amp; Runway</t>
        </is>
      </c>
      <c r="D12" s="10" t="inlineStr">
        <is>
          <t>Yes</t>
        </is>
      </c>
      <c r="E12" s="11" t="inlineStr">
        <is>
          <t>saas_cash_runway</t>
        </is>
      </c>
    </row>
    <row r="13">
      <c r="A13" s="12" t="inlineStr">
        <is>
          <t>AI-SaaS</t>
        </is>
      </c>
      <c r="B13" s="12" t="inlineStr">
        <is>
          <t>Fundraising</t>
        </is>
      </c>
      <c r="C13" s="12" t="inlineStr">
        <is>
          <t>Fundraising &amp; Cap Table</t>
        </is>
      </c>
      <c r="D13" s="13" t="inlineStr">
        <is>
          <t>Yes</t>
        </is>
      </c>
      <c r="E13" s="14" t="inlineStr">
        <is>
          <t>saas_fundraising</t>
        </is>
      </c>
    </row>
    <row r="14"/>
    <row r="15">
      <c r="A15" s="8" t="inlineStr">
        <is>
          <t>D2C</t>
        </is>
      </c>
    </row>
    <row r="16">
      <c r="A16" s="9" t="inlineStr">
        <is>
          <t>D2C</t>
        </is>
      </c>
      <c r="B16" s="9" t="inlineStr">
        <is>
          <t>Revenue</t>
        </is>
      </c>
      <c r="C16" s="9" t="inlineStr">
        <is>
          <t>GMV &amp; AOV</t>
        </is>
      </c>
      <c r="D16" s="10" t="inlineStr">
        <is>
          <t>No</t>
        </is>
      </c>
      <c r="E16" s="11" t="inlineStr">
        <is>
          <t>d2c_gmv_aov</t>
        </is>
      </c>
    </row>
    <row r="17">
      <c r="A17" s="12" t="inlineStr">
        <is>
          <t>D2C</t>
        </is>
      </c>
      <c r="B17" s="12" t="inlineStr">
        <is>
          <t>Revenue</t>
        </is>
      </c>
      <c r="C17" s="12" t="inlineStr">
        <is>
          <t>Channel Revenue Breakup</t>
        </is>
      </c>
      <c r="D17" s="13" t="inlineStr">
        <is>
          <t>No</t>
        </is>
      </c>
      <c r="E17" s="14" t="inlineStr">
        <is>
          <t>d2c_channel_revenue</t>
        </is>
      </c>
    </row>
    <row r="18">
      <c r="A18" s="9" t="inlineStr">
        <is>
          <t>D2C</t>
        </is>
      </c>
      <c r="B18" s="9" t="inlineStr">
        <is>
          <t>Revenue</t>
        </is>
      </c>
      <c r="C18" s="9" t="inlineStr">
        <is>
          <t>Return Rates &amp; Net Revenue</t>
        </is>
      </c>
      <c r="D18" s="10" t="inlineStr">
        <is>
          <t>No</t>
        </is>
      </c>
      <c r="E18" s="11" t="inlineStr">
        <is>
          <t>d2c_return_rates</t>
        </is>
      </c>
    </row>
    <row r="19">
      <c r="A19" s="12" t="inlineStr">
        <is>
          <t>D2C</t>
        </is>
      </c>
      <c r="B19" s="12" t="inlineStr">
        <is>
          <t>Customers</t>
        </is>
      </c>
      <c r="C19" s="12" t="inlineStr">
        <is>
          <t>Customer Funnel</t>
        </is>
      </c>
      <c r="D19" s="13" t="inlineStr">
        <is>
          <t>No</t>
        </is>
      </c>
      <c r="E19" s="14" t="inlineStr">
        <is>
          <t>d2c_customer_funnel</t>
        </is>
      </c>
    </row>
    <row r="20">
      <c r="A20" s="9" t="inlineStr">
        <is>
          <t>D2C</t>
        </is>
      </c>
      <c r="B20" s="9" t="inlineStr">
        <is>
          <t>Retention</t>
        </is>
      </c>
      <c r="C20" s="9" t="inlineStr">
        <is>
          <t>Cohort Retention &amp; Churn</t>
        </is>
      </c>
      <c r="D20" s="10" t="inlineStr">
        <is>
          <t>No</t>
        </is>
      </c>
      <c r="E20" s="11" t="inlineStr">
        <is>
          <t>d2c_cohort_retention</t>
        </is>
      </c>
    </row>
    <row r="21">
      <c r="A21" s="12" t="inlineStr">
        <is>
          <t>D2C</t>
        </is>
      </c>
      <c r="B21" s="12" t="inlineStr">
        <is>
          <t>Unit Economics</t>
        </is>
      </c>
      <c r="C21" s="12" t="inlineStr">
        <is>
          <t>Unit Economics</t>
        </is>
      </c>
      <c r="D21" s="13" t="inlineStr">
        <is>
          <t>No</t>
        </is>
      </c>
      <c r="E21" s="14" t="inlineStr">
        <is>
          <t>d2c_unit_economics</t>
        </is>
      </c>
    </row>
    <row r="22">
      <c r="A22" s="9" t="inlineStr">
        <is>
          <t>D2C</t>
        </is>
      </c>
      <c r="B22" s="9" t="inlineStr">
        <is>
          <t>Financials</t>
        </is>
      </c>
      <c r="C22" s="9" t="inlineStr">
        <is>
          <t>P&amp;L Summary</t>
        </is>
      </c>
      <c r="D22" s="10" t="inlineStr">
        <is>
          <t>No</t>
        </is>
      </c>
      <c r="E22" s="11" t="inlineStr">
        <is>
          <t>d2c_pnl</t>
        </is>
      </c>
    </row>
    <row r="23">
      <c r="A23" s="12" t="inlineStr">
        <is>
          <t>D2C</t>
        </is>
      </c>
      <c r="B23" s="12" t="inlineStr">
        <is>
          <t>Financials</t>
        </is>
      </c>
      <c r="C23" s="12" t="inlineStr">
        <is>
          <t>Balance Sheet</t>
        </is>
      </c>
      <c r="D23" s="13" t="inlineStr">
        <is>
          <t>No</t>
        </is>
      </c>
      <c r="E23" s="14" t="inlineStr">
        <is>
          <t>d2c_balance_sheet</t>
        </is>
      </c>
    </row>
    <row r="24">
      <c r="A24" s="9" t="inlineStr">
        <is>
          <t>D2C</t>
        </is>
      </c>
      <c r="B24" s="9" t="inlineStr">
        <is>
          <t>Financials</t>
        </is>
      </c>
      <c r="C24" s="9" t="inlineStr">
        <is>
          <t>Cash Flow</t>
        </is>
      </c>
      <c r="D24" s="10" t="inlineStr">
        <is>
          <t>No</t>
        </is>
      </c>
      <c r="E24" s="11" t="inlineStr">
        <is>
          <t>d2c_cash_flow</t>
        </is>
      </c>
    </row>
    <row r="25">
      <c r="A25" s="12" t="inlineStr">
        <is>
          <t>D2C</t>
        </is>
      </c>
      <c r="B25" s="12" t="inlineStr">
        <is>
          <t>Fundraising</t>
        </is>
      </c>
      <c r="C25" s="12" t="inlineStr">
        <is>
          <t>Fundraising &amp; Cap Table</t>
        </is>
      </c>
      <c r="D25" s="13" t="inlineStr">
        <is>
          <t>No</t>
        </is>
      </c>
      <c r="E25" s="14" t="inlineStr">
        <is>
          <t>d2c_fundraising</t>
        </is>
      </c>
    </row>
    <row r="26"/>
    <row r="27">
      <c r="A27" s="8" t="inlineStr">
        <is>
          <t>Healthcare</t>
        </is>
      </c>
    </row>
    <row r="28">
      <c r="A28" s="9" t="inlineStr">
        <is>
          <t>Healthcare</t>
        </is>
      </c>
      <c r="B28" s="9" t="inlineStr">
        <is>
          <t>Operations</t>
        </is>
      </c>
      <c r="C28" s="9" t="inlineStr">
        <is>
          <t>Bed Occupancy &amp; Utilization</t>
        </is>
      </c>
      <c r="D28" s="10" t="inlineStr">
        <is>
          <t>No</t>
        </is>
      </c>
      <c r="E28" s="11" t="inlineStr">
        <is>
          <t>hc_bed_occupancy</t>
        </is>
      </c>
    </row>
    <row r="29">
      <c r="A29" s="12" t="inlineStr">
        <is>
          <t>Healthcare</t>
        </is>
      </c>
      <c r="B29" s="12" t="inlineStr">
        <is>
          <t>Revenue</t>
        </is>
      </c>
      <c r="C29" s="12" t="inlineStr">
        <is>
          <t>ARPOB &amp; Revenue per Bed</t>
        </is>
      </c>
      <c r="D29" s="13" t="inlineStr">
        <is>
          <t>No</t>
        </is>
      </c>
      <c r="E29" s="14" t="inlineStr">
        <is>
          <t>hc_arpob</t>
        </is>
      </c>
    </row>
    <row r="30">
      <c r="A30" s="9" t="inlineStr">
        <is>
          <t>Healthcare</t>
        </is>
      </c>
      <c r="B30" s="9" t="inlineStr">
        <is>
          <t>Revenue</t>
        </is>
      </c>
      <c r="C30" s="9" t="inlineStr">
        <is>
          <t>Department Revenue</t>
        </is>
      </c>
      <c r="D30" s="10" t="inlineStr">
        <is>
          <t>No</t>
        </is>
      </c>
      <c r="E30" s="11" t="inlineStr">
        <is>
          <t>hc_dept_revenue</t>
        </is>
      </c>
    </row>
    <row r="31">
      <c r="A31" s="12" t="inlineStr">
        <is>
          <t>Healthcare</t>
        </is>
      </c>
      <c r="B31" s="12" t="inlineStr">
        <is>
          <t>Revenue</t>
        </is>
      </c>
      <c r="C31" s="12" t="inlineStr">
        <is>
          <t>Payer Mix</t>
        </is>
      </c>
      <c r="D31" s="13" t="inlineStr">
        <is>
          <t>No</t>
        </is>
      </c>
      <c r="E31" s="14" t="inlineStr">
        <is>
          <t>hc_payer_mix</t>
        </is>
      </c>
    </row>
    <row r="32">
      <c r="A32" s="9" t="inlineStr">
        <is>
          <t>Healthcare</t>
        </is>
      </c>
      <c r="B32" s="9" t="inlineStr">
        <is>
          <t>Operations</t>
        </is>
      </c>
      <c r="C32" s="9" t="inlineStr">
        <is>
          <t>OPD &amp; IPD Volumes</t>
        </is>
      </c>
      <c r="D32" s="10" t="inlineStr">
        <is>
          <t>No</t>
        </is>
      </c>
      <c r="E32" s="11" t="inlineStr">
        <is>
          <t>hc_opd_ipd</t>
        </is>
      </c>
    </row>
    <row r="33">
      <c r="A33" s="12" t="inlineStr">
        <is>
          <t>Healthcare</t>
        </is>
      </c>
      <c r="B33" s="12" t="inlineStr">
        <is>
          <t>Cost</t>
        </is>
      </c>
      <c r="C33" s="12" t="inlineStr">
        <is>
          <t>Cost per Bed Day</t>
        </is>
      </c>
      <c r="D33" s="13" t="inlineStr">
        <is>
          <t>No</t>
        </is>
      </c>
      <c r="E33" s="14" t="inlineStr">
        <is>
          <t>hc_cost_per_bed</t>
        </is>
      </c>
    </row>
    <row r="34">
      <c r="A34" s="9" t="inlineStr">
        <is>
          <t>Healthcare</t>
        </is>
      </c>
      <c r="B34" s="9" t="inlineStr">
        <is>
          <t>Financials</t>
        </is>
      </c>
      <c r="C34" s="9" t="inlineStr">
        <is>
          <t>P&amp;L Summary</t>
        </is>
      </c>
      <c r="D34" s="10" t="inlineStr">
        <is>
          <t>No</t>
        </is>
      </c>
      <c r="E34" s="11" t="inlineStr">
        <is>
          <t>hc_pnl</t>
        </is>
      </c>
    </row>
    <row r="35">
      <c r="A35" s="12" t="inlineStr">
        <is>
          <t>Healthcare</t>
        </is>
      </c>
      <c r="B35" s="12" t="inlineStr">
        <is>
          <t>Financials</t>
        </is>
      </c>
      <c r="C35" s="12" t="inlineStr">
        <is>
          <t>Cash Flow &amp; Capex</t>
        </is>
      </c>
      <c r="D35" s="13" t="inlineStr">
        <is>
          <t>No</t>
        </is>
      </c>
      <c r="E35" s="14" t="inlineStr">
        <is>
          <t>hc_cash_flow</t>
        </is>
      </c>
    </row>
    <row r="36">
      <c r="A36" s="9" t="inlineStr">
        <is>
          <t>Healthcare</t>
        </is>
      </c>
      <c r="B36" s="9" t="inlineStr">
        <is>
          <t>Fundraising</t>
        </is>
      </c>
      <c r="C36" s="9" t="inlineStr">
        <is>
          <t>Fundraising &amp; Cap Table</t>
        </is>
      </c>
      <c r="D36" s="10" t="inlineStr">
        <is>
          <t>No</t>
        </is>
      </c>
      <c r="E36" s="11" t="inlineStr">
        <is>
          <t>hc_fundraising</t>
        </is>
      </c>
    </row>
  </sheetData>
  <mergeCells count="5">
    <mergeCell ref="A15:E15"/>
    <mergeCell ref="A2"/>
    <mergeCell ref="A1:E1"/>
    <mergeCell ref="A27:E27"/>
    <mergeCell ref="A3:E3"/>
  </mergeCells>
  <dataValidations count="1">
    <dataValidation sqref="D4 D5 D6 D7 D8 D9 D10 D11 D12 D13 D16 D17 D18 D19 D20 D21 D22 D23 D24 D25 D28 D29 D30 D31 D32 D33 D34 D35 D36" showDropDown="0" showInputMessage="0" showErrorMessage="0" allowBlank="0" errorTitle="Invalid Selection" error="Please select Yes or No" promptTitle="Include?" prompt="Include this section in dashboard?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6B6B6B"/>
    <outlinePr summaryBelow="1" summaryRight="1"/>
    <pageSetUpPr/>
  </sheetPr>
  <dimension ref="A1:I95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3" customWidth="1" min="7" max="7"/>
    <col hidden="1" width="0.5" customWidth="1" min="8" max="8"/>
    <col hidden="1" width="0.5" customWidth="1" min="9" max="9"/>
  </cols>
  <sheetData>
    <row r="1">
      <c r="A1" s="1" t="inlineStr">
        <is>
          <t>RUBAN — AI-SaaS Projections</t>
        </is>
      </c>
    </row>
    <row r="2">
      <c r="A2" s="3" t="inlineStr">
        <is>
          <t>Fill only sections marked "Yes" on the Checklist sheet. Blue cells = your inputs. Black cells = formulas (auto-calculated).</t>
        </is>
      </c>
    </row>
    <row r="3">
      <c r="A3" s="6" t="inlineStr"/>
      <c r="B3" s="6" t="inlineStr">
        <is>
          <t>Year 1</t>
        </is>
      </c>
      <c r="C3" s="6" t="inlineStr">
        <is>
          <t>Year 2</t>
        </is>
      </c>
      <c r="D3" s="6" t="inlineStr">
        <is>
          <t>Year 3</t>
        </is>
      </c>
      <c r="E3" s="6" t="inlineStr">
        <is>
          <t>Year 4</t>
        </is>
      </c>
      <c r="F3" s="6" t="inlineStr">
        <is>
          <t>Year 5</t>
        </is>
      </c>
    </row>
    <row r="4">
      <c r="A4" s="15" t="inlineStr">
        <is>
          <t>1. MRR &amp; ARR Progression</t>
        </is>
      </c>
      <c r="B4" s="43" t="n"/>
      <c r="C4" s="43" t="n"/>
      <c r="D4" s="43" t="n"/>
      <c r="E4" s="43" t="n"/>
      <c r="H4" t="inlineStr">
        <is>
          <t>saas_mrr_arr</t>
        </is>
      </c>
      <c r="I4" t="inlineStr">
        <is>
          <t>S</t>
        </is>
      </c>
    </row>
    <row r="5">
      <c r="A5" s="17" t="inlineStr">
        <is>
          <t>Beginning MRR</t>
        </is>
      </c>
      <c r="B5" s="18" t="n">
        <v>0</v>
      </c>
      <c r="C5" s="18" t="n">
        <v>42</v>
      </c>
      <c r="D5" s="18" t="n">
        <v>150</v>
      </c>
      <c r="E5" s="18" t="n">
        <v>480</v>
      </c>
      <c r="F5" s="18" t="n">
        <v>1200</v>
      </c>
      <c r="I5" t="inlineStr">
        <is>
          <t>I</t>
        </is>
      </c>
    </row>
    <row r="6">
      <c r="A6" s="17" t="inlineStr">
        <is>
          <t>New MRR</t>
        </is>
      </c>
      <c r="B6" s="18" t="n">
        <v>30</v>
      </c>
      <c r="C6" s="18" t="n">
        <v>80</v>
      </c>
      <c r="D6" s="18" t="n">
        <v>220</v>
      </c>
      <c r="E6" s="18" t="n">
        <v>500</v>
      </c>
      <c r="F6" s="18" t="n">
        <v>900</v>
      </c>
      <c r="I6" t="inlineStr">
        <is>
          <t>I</t>
        </is>
      </c>
    </row>
    <row r="7">
      <c r="A7" s="17" t="inlineStr">
        <is>
          <t>Expansion MRR</t>
        </is>
      </c>
      <c r="B7" s="18" t="n">
        <v>5</v>
      </c>
      <c r="C7" s="18" t="n">
        <v>20</v>
      </c>
      <c r="D7" s="18" t="n">
        <v>80</v>
      </c>
      <c r="E7" s="18" t="n">
        <v>180</v>
      </c>
      <c r="F7" s="18" t="n">
        <v>350</v>
      </c>
      <c r="I7" t="inlineStr">
        <is>
          <t>I</t>
        </is>
      </c>
    </row>
    <row r="8">
      <c r="A8" s="17" t="inlineStr">
        <is>
          <t>Churned MRR</t>
        </is>
      </c>
      <c r="B8" s="18" t="n">
        <v>3</v>
      </c>
      <c r="C8" s="18" t="n">
        <v>12</v>
      </c>
      <c r="D8" s="18" t="n">
        <v>30</v>
      </c>
      <c r="E8" s="18" t="n">
        <v>60</v>
      </c>
      <c r="F8" s="18" t="n">
        <v>110</v>
      </c>
      <c r="I8" t="inlineStr">
        <is>
          <t>I</t>
        </is>
      </c>
    </row>
    <row r="9">
      <c r="A9" s="19" t="inlineStr">
        <is>
          <t>Ending MRR</t>
        </is>
      </c>
      <c r="B9" s="20">
        <f>B5+B6+B7-B8</f>
        <v/>
      </c>
      <c r="C9" s="20">
        <f>C5+C6+C7-C8</f>
        <v/>
      </c>
      <c r="D9" s="20">
        <f>D5+D6+D7-D8</f>
        <v/>
      </c>
      <c r="E9" s="20">
        <f>E5+E6+E7-E8</f>
        <v/>
      </c>
      <c r="F9" s="20">
        <f>F5+F6+F7-F8</f>
        <v/>
      </c>
      <c r="I9" t="inlineStr">
        <is>
          <t>T</t>
        </is>
      </c>
    </row>
    <row r="10">
      <c r="A10" s="21" t="inlineStr">
        <is>
          <t>ARR</t>
        </is>
      </c>
      <c r="B10" s="22">
        <f>B9*12</f>
        <v/>
      </c>
      <c r="C10" s="22">
        <f>C9*12</f>
        <v/>
      </c>
      <c r="D10" s="22">
        <f>D9*12</f>
        <v/>
      </c>
      <c r="E10" s="22">
        <f>E9*12</f>
        <v/>
      </c>
      <c r="F10" s="22">
        <f>F9*12</f>
        <v/>
      </c>
      <c r="I10" t="inlineStr">
        <is>
          <t>T</t>
        </is>
      </c>
    </row>
    <row r="11"/>
    <row r="12">
      <c r="A12" s="15" t="inlineStr">
        <is>
          <t>2. Revenue by Plan/Tier</t>
        </is>
      </c>
      <c r="B12" s="43" t="n"/>
      <c r="C12" s="43" t="n"/>
      <c r="D12" s="43" t="n"/>
      <c r="E12" s="43" t="n"/>
      <c r="H12" t="inlineStr">
        <is>
          <t>saas_revenue_plan</t>
        </is>
      </c>
      <c r="I12" t="inlineStr">
        <is>
          <t>S</t>
        </is>
      </c>
    </row>
    <row r="13">
      <c r="A13" s="17" t="inlineStr">
        <is>
          <t>Free Users (count)</t>
        </is>
      </c>
      <c r="B13" s="23" t="n">
        <v>500</v>
      </c>
      <c r="C13" s="23" t="n">
        <v>2000</v>
      </c>
      <c r="D13" s="23" t="n">
        <v>8000</v>
      </c>
      <c r="E13" s="23" t="n">
        <v>20000</v>
      </c>
      <c r="F13" s="23" t="n">
        <v>45000</v>
      </c>
      <c r="I13" t="inlineStr">
        <is>
          <t>I</t>
        </is>
      </c>
    </row>
    <row r="14">
      <c r="A14" s="17" t="inlineStr">
        <is>
          <t>Starter Revenue</t>
        </is>
      </c>
      <c r="B14" s="18" t="n">
        <v>120</v>
      </c>
      <c r="C14" s="18" t="n">
        <v>350</v>
      </c>
      <c r="D14" s="18" t="n">
        <v>900</v>
      </c>
      <c r="E14" s="18" t="n">
        <v>2100</v>
      </c>
      <c r="F14" s="18" t="n">
        <v>4200</v>
      </c>
      <c r="I14" t="inlineStr">
        <is>
          <t>I</t>
        </is>
      </c>
    </row>
    <row r="15">
      <c r="A15" s="17" t="inlineStr">
        <is>
          <t>Pro Revenue</t>
        </is>
      </c>
      <c r="B15" s="18" t="n">
        <v>180</v>
      </c>
      <c r="C15" s="18" t="n">
        <v>600</v>
      </c>
      <c r="D15" s="18" t="n">
        <v>1800</v>
      </c>
      <c r="E15" s="18" t="n">
        <v>4800</v>
      </c>
      <c r="F15" s="18" t="n">
        <v>10500</v>
      </c>
      <c r="I15" t="inlineStr">
        <is>
          <t>I</t>
        </is>
      </c>
    </row>
    <row r="16">
      <c r="A16" s="17" t="inlineStr">
        <is>
          <t>Enterprise Revenue</t>
        </is>
      </c>
      <c r="B16" s="18" t="n">
        <v>60</v>
      </c>
      <c r="C16" s="18" t="n">
        <v>250</v>
      </c>
      <c r="D16" s="18" t="n">
        <v>1200</v>
      </c>
      <c r="E16" s="18" t="n">
        <v>4500</v>
      </c>
      <c r="F16" s="18" t="n">
        <v>12000</v>
      </c>
      <c r="I16" t="inlineStr">
        <is>
          <t>I</t>
        </is>
      </c>
    </row>
    <row r="17">
      <c r="A17" s="19" t="inlineStr">
        <is>
          <t>Total Revenue</t>
        </is>
      </c>
      <c r="B17" s="20">
        <f>B14+B15+B16</f>
        <v/>
      </c>
      <c r="C17" s="20">
        <f>C14+C15+C16</f>
        <v/>
      </c>
      <c r="D17" s="20">
        <f>D14+D15+D16</f>
        <v/>
      </c>
      <c r="E17" s="20">
        <f>E14+E15+E16</f>
        <v/>
      </c>
      <c r="F17" s="20">
        <f>F14+F15+F16</f>
        <v/>
      </c>
      <c r="I17" t="inlineStr">
        <is>
          <t>T</t>
        </is>
      </c>
    </row>
    <row r="18"/>
    <row r="19">
      <c r="A19" s="15" t="inlineStr">
        <is>
          <t>3. Churn &amp; Retention</t>
        </is>
      </c>
      <c r="B19" s="43" t="n"/>
      <c r="C19" s="43" t="n"/>
      <c r="D19" s="43" t="n"/>
      <c r="E19" s="43" t="n"/>
      <c r="H19" t="inlineStr">
        <is>
          <t>saas_churn_retention</t>
        </is>
      </c>
      <c r="I19" t="inlineStr">
        <is>
          <t>S</t>
        </is>
      </c>
    </row>
    <row r="20">
      <c r="A20" s="17" t="inlineStr">
        <is>
          <t>Starting Customers</t>
        </is>
      </c>
      <c r="B20" s="23" t="n">
        <v>0</v>
      </c>
      <c r="C20" s="23" t="n">
        <v>120</v>
      </c>
      <c r="D20" s="23" t="n">
        <v>450</v>
      </c>
      <c r="E20" s="23" t="n">
        <v>1400</v>
      </c>
      <c r="F20" s="23" t="n">
        <v>3800</v>
      </c>
      <c r="I20" t="inlineStr">
        <is>
          <t>I</t>
        </is>
      </c>
    </row>
    <row r="21">
      <c r="A21" s="17" t="inlineStr">
        <is>
          <t>New Customers</t>
        </is>
      </c>
      <c r="B21" s="23" t="n">
        <v>120</v>
      </c>
      <c r="C21" s="23" t="n">
        <v>380</v>
      </c>
      <c r="D21" s="23" t="n">
        <v>1100</v>
      </c>
      <c r="E21" s="23" t="n">
        <v>2800</v>
      </c>
      <c r="F21" s="23" t="n">
        <v>5500</v>
      </c>
      <c r="I21" t="inlineStr">
        <is>
          <t>I</t>
        </is>
      </c>
    </row>
    <row r="22">
      <c r="A22" s="17" t="inlineStr">
        <is>
          <t>Churned Customers</t>
        </is>
      </c>
      <c r="B22" s="23" t="n">
        <v>0</v>
      </c>
      <c r="C22" s="23" t="n">
        <v>50</v>
      </c>
      <c r="D22" s="23" t="n">
        <v>150</v>
      </c>
      <c r="E22" s="23" t="n">
        <v>400</v>
      </c>
      <c r="F22" s="23" t="n">
        <v>800</v>
      </c>
      <c r="I22" t="inlineStr">
        <is>
          <t>I</t>
        </is>
      </c>
    </row>
    <row r="23">
      <c r="A23" s="19" t="inlineStr">
        <is>
          <t>Ending Customers</t>
        </is>
      </c>
      <c r="B23" s="24">
        <f>B20+B21-B22</f>
        <v/>
      </c>
      <c r="C23" s="24">
        <f>C20+C21-C22</f>
        <v/>
      </c>
      <c r="D23" s="24">
        <f>D20+D21-D22</f>
        <v/>
      </c>
      <c r="E23" s="24">
        <f>E20+E21-E22</f>
        <v/>
      </c>
      <c r="F23" s="24">
        <f>F20+F21-F22</f>
        <v/>
      </c>
      <c r="I23" t="inlineStr">
        <is>
          <t>T</t>
        </is>
      </c>
    </row>
    <row r="24">
      <c r="A24" s="25" t="inlineStr">
        <is>
          <t>Logo Churn %</t>
        </is>
      </c>
      <c r="B24" s="26">
        <f>IF(B20&lt;&gt;0,B22/B20,0)</f>
        <v/>
      </c>
      <c r="C24" s="26">
        <f>IF(C20&lt;&gt;0,C22/C20,0)</f>
        <v/>
      </c>
      <c r="D24" s="26">
        <f>IF(D20&lt;&gt;0,D22/D20,0)</f>
        <v/>
      </c>
      <c r="E24" s="26">
        <f>IF(E20&lt;&gt;0,E22/E20,0)</f>
        <v/>
      </c>
      <c r="F24" s="26">
        <f>IF(F20&lt;&gt;0,F22/F20,0)</f>
        <v/>
      </c>
      <c r="I24" t="inlineStr">
        <is>
          <t>P</t>
        </is>
      </c>
    </row>
    <row r="25">
      <c r="A25" s="17" t="inlineStr">
        <is>
          <t>Gross Revenue Retention %</t>
        </is>
      </c>
      <c r="B25" s="27" t="n">
        <v>0.95</v>
      </c>
      <c r="C25" s="27" t="n">
        <v>0.93</v>
      </c>
      <c r="D25" s="27" t="n">
        <v>0.91</v>
      </c>
      <c r="E25" s="27" t="n">
        <v>0.9</v>
      </c>
      <c r="F25" s="27" t="n">
        <v>0.92</v>
      </c>
      <c r="I25" t="inlineStr">
        <is>
          <t>I</t>
        </is>
      </c>
    </row>
    <row r="26"/>
    <row r="27">
      <c r="A27" s="15" t="inlineStr">
        <is>
          <t>4. Net Dollar Retention</t>
        </is>
      </c>
      <c r="B27" s="43" t="n"/>
      <c r="C27" s="43" t="n"/>
      <c r="D27" s="43" t="n"/>
      <c r="E27" s="43" t="n"/>
      <c r="H27" t="inlineStr">
        <is>
          <t>saas_ndr</t>
        </is>
      </c>
      <c r="I27" t="inlineStr">
        <is>
          <t>S</t>
        </is>
      </c>
    </row>
    <row r="28">
      <c r="A28" s="17" t="inlineStr">
        <is>
          <t>Beginning ARR</t>
        </is>
      </c>
      <c r="B28" s="18" t="n">
        <v>0</v>
      </c>
      <c r="C28" s="18" t="n">
        <v>384</v>
      </c>
      <c r="D28" s="18" t="n">
        <v>1800</v>
      </c>
      <c r="E28" s="18" t="n">
        <v>5760</v>
      </c>
      <c r="F28" s="18" t="n">
        <v>14400</v>
      </c>
      <c r="I28" t="inlineStr">
        <is>
          <t>I</t>
        </is>
      </c>
    </row>
    <row r="29">
      <c r="A29" s="17" t="inlineStr">
        <is>
          <t>Expansion ARR</t>
        </is>
      </c>
      <c r="B29" s="18" t="n">
        <v>60</v>
      </c>
      <c r="C29" s="18" t="n">
        <v>240</v>
      </c>
      <c r="D29" s="18" t="n">
        <v>960</v>
      </c>
      <c r="E29" s="18" t="n">
        <v>2160</v>
      </c>
      <c r="F29" s="18" t="n">
        <v>4200</v>
      </c>
      <c r="I29" t="inlineStr">
        <is>
          <t>I</t>
        </is>
      </c>
    </row>
    <row r="30">
      <c r="A30" s="17" t="inlineStr">
        <is>
          <t>Contraction ARR</t>
        </is>
      </c>
      <c r="B30" s="18" t="n">
        <v>5</v>
      </c>
      <c r="C30" s="18" t="n">
        <v>24</v>
      </c>
      <c r="D30" s="18" t="n">
        <v>120</v>
      </c>
      <c r="E30" s="18" t="n">
        <v>360</v>
      </c>
      <c r="F30" s="18" t="n">
        <v>720</v>
      </c>
      <c r="I30" t="inlineStr">
        <is>
          <t>I</t>
        </is>
      </c>
    </row>
    <row r="31">
      <c r="A31" s="17" t="inlineStr">
        <is>
          <t>Churned ARR</t>
        </is>
      </c>
      <c r="B31" s="18" t="n">
        <v>10</v>
      </c>
      <c r="C31" s="18" t="n">
        <v>60</v>
      </c>
      <c r="D31" s="18" t="n">
        <v>240</v>
      </c>
      <c r="E31" s="18" t="n">
        <v>600</v>
      </c>
      <c r="F31" s="18" t="n">
        <v>1100</v>
      </c>
      <c r="I31" t="inlineStr">
        <is>
          <t>I</t>
        </is>
      </c>
    </row>
    <row r="32">
      <c r="A32" s="19" t="inlineStr">
        <is>
          <t>Ending ARR</t>
        </is>
      </c>
      <c r="B32" s="20">
        <f>B28+B29-B30-B31</f>
        <v/>
      </c>
      <c r="C32" s="20">
        <f>C28+C29-C30-C31</f>
        <v/>
      </c>
      <c r="D32" s="20">
        <f>D28+D29-D30-D31</f>
        <v/>
      </c>
      <c r="E32" s="20">
        <f>E28+E29-E30-E31</f>
        <v/>
      </c>
      <c r="F32" s="20">
        <f>F28+F29-F30-F31</f>
        <v/>
      </c>
      <c r="I32" t="inlineStr">
        <is>
          <t>T</t>
        </is>
      </c>
    </row>
    <row r="33">
      <c r="A33" s="25" t="inlineStr">
        <is>
          <t>NDR %</t>
        </is>
      </c>
      <c r="B33" s="26">
        <f>IF(B28&lt;&gt;0,B32/B28,0)</f>
        <v/>
      </c>
      <c r="C33" s="26">
        <f>IF(C28&lt;&gt;0,C32/C28,0)</f>
        <v/>
      </c>
      <c r="D33" s="26">
        <f>IF(D28&lt;&gt;0,D32/D28,0)</f>
        <v/>
      </c>
      <c r="E33" s="26">
        <f>IF(E28&lt;&gt;0,E32/E28,0)</f>
        <v/>
      </c>
      <c r="F33" s="26">
        <f>IF(F28&lt;&gt;0,F32/F28,0)</f>
        <v/>
      </c>
      <c r="I33" t="inlineStr">
        <is>
          <t>P</t>
        </is>
      </c>
    </row>
    <row r="34"/>
    <row r="35">
      <c r="A35" s="15" t="inlineStr">
        <is>
          <t>5. CAC &amp; LTV</t>
        </is>
      </c>
      <c r="B35" s="43" t="n"/>
      <c r="C35" s="43" t="n"/>
      <c r="D35" s="43" t="n"/>
      <c r="E35" s="43" t="n"/>
      <c r="H35" t="inlineStr">
        <is>
          <t>saas_cac_ltv</t>
        </is>
      </c>
      <c r="I35" t="inlineStr">
        <is>
          <t>S</t>
        </is>
      </c>
    </row>
    <row r="36">
      <c r="A36" s="17" t="inlineStr">
        <is>
          <t>S&amp;M Spend</t>
        </is>
      </c>
      <c r="B36" s="18" t="n">
        <v>180</v>
      </c>
      <c r="C36" s="18" t="n">
        <v>550</v>
      </c>
      <c r="D36" s="18" t="n">
        <v>1500</v>
      </c>
      <c r="E36" s="18" t="n">
        <v>3500</v>
      </c>
      <c r="F36" s="18" t="n">
        <v>6500</v>
      </c>
      <c r="I36" t="inlineStr">
        <is>
          <t>I</t>
        </is>
      </c>
    </row>
    <row r="37">
      <c r="A37" s="17" t="inlineStr">
        <is>
          <t>New Customers Acquired</t>
        </is>
      </c>
      <c r="B37" s="23" t="n">
        <v>120</v>
      </c>
      <c r="C37" s="23" t="n">
        <v>380</v>
      </c>
      <c r="D37" s="23" t="n">
        <v>1100</v>
      </c>
      <c r="E37" s="23" t="n">
        <v>2800</v>
      </c>
      <c r="F37" s="23" t="n">
        <v>5500</v>
      </c>
      <c r="I37" t="inlineStr">
        <is>
          <t>I</t>
        </is>
      </c>
    </row>
    <row r="38">
      <c r="A38" s="28" t="inlineStr">
        <is>
          <t>CAC</t>
        </is>
      </c>
      <c r="B38" s="29">
        <f>IF(B37&lt;&gt;0,B36/B37,0)</f>
        <v/>
      </c>
      <c r="C38" s="29">
        <f>IF(C37&lt;&gt;0,C36/C37,0)</f>
        <v/>
      </c>
      <c r="D38" s="29">
        <f>IF(D37&lt;&gt;0,D36/D37,0)</f>
        <v/>
      </c>
      <c r="E38" s="29">
        <f>IF(E37&lt;&gt;0,E36/E37,0)</f>
        <v/>
      </c>
      <c r="F38" s="29">
        <f>IF(F37&lt;&gt;0,F36/F37,0)</f>
        <v/>
      </c>
      <c r="I38" t="inlineStr">
        <is>
          <t>F</t>
        </is>
      </c>
    </row>
    <row r="39">
      <c r="A39" s="17" t="inlineStr">
        <is>
          <t>ARPA (Avg Rev per Account)</t>
        </is>
      </c>
      <c r="B39" s="18" t="n">
        <v>3</v>
      </c>
      <c r="C39" s="18" t="n">
        <v>3.2</v>
      </c>
      <c r="D39" s="18" t="n">
        <v>3.5</v>
      </c>
      <c r="E39" s="18" t="n">
        <v>4.1</v>
      </c>
      <c r="F39" s="18" t="n">
        <v>4.9</v>
      </c>
      <c r="I39" t="inlineStr">
        <is>
          <t>I</t>
        </is>
      </c>
    </row>
    <row r="40">
      <c r="A40" s="17" t="inlineStr">
        <is>
          <t>Gross Margin %</t>
        </is>
      </c>
      <c r="B40" s="27" t="n">
        <v>0.72</v>
      </c>
      <c r="C40" s="27" t="n">
        <v>0.74</v>
      </c>
      <c r="D40" s="27" t="n">
        <v>0.76</v>
      </c>
      <c r="E40" s="27" t="n">
        <v>0.78</v>
      </c>
      <c r="F40" s="27" t="n">
        <v>0.8</v>
      </c>
      <c r="I40" t="inlineStr">
        <is>
          <t>I</t>
        </is>
      </c>
    </row>
    <row r="41">
      <c r="A41" s="17" t="inlineStr">
        <is>
          <t>Annual Churn Rate %</t>
        </is>
      </c>
      <c r="B41" s="27" t="n">
        <v>0.15</v>
      </c>
      <c r="C41" s="27" t="n">
        <v>0.12</v>
      </c>
      <c r="D41" s="27" t="n">
        <v>0.1</v>
      </c>
      <c r="E41" s="27" t="n">
        <v>0.08</v>
      </c>
      <c r="F41" s="27" t="n">
        <v>0.07000000000000001</v>
      </c>
      <c r="I41" t="inlineStr">
        <is>
          <t>I</t>
        </is>
      </c>
    </row>
    <row r="42">
      <c r="A42" s="28" t="inlineStr">
        <is>
          <t>LTV</t>
        </is>
      </c>
      <c r="B42" s="29">
        <f>IF(B41&lt;&gt;0,B39*B40/B41,0)</f>
        <v/>
      </c>
      <c r="C42" s="29">
        <f>IF(C41&lt;&gt;0,C39*C40/C41,0)</f>
        <v/>
      </c>
      <c r="D42" s="29">
        <f>IF(D41&lt;&gt;0,D39*D40/D41,0)</f>
        <v/>
      </c>
      <c r="E42" s="29">
        <f>IF(E41&lt;&gt;0,E39*E40/E41,0)</f>
        <v/>
      </c>
      <c r="F42" s="29">
        <f>IF(F41&lt;&gt;0,F39*F40/F41,0)</f>
        <v/>
      </c>
      <c r="I42" t="inlineStr">
        <is>
          <t>F</t>
        </is>
      </c>
    </row>
    <row r="43">
      <c r="A43" s="28" t="inlineStr">
        <is>
          <t>LTV / CAC</t>
        </is>
      </c>
      <c r="B43" s="30">
        <f>IF(B38&lt;&gt;0,B42/B38,0)</f>
        <v/>
      </c>
      <c r="C43" s="30">
        <f>IF(C38&lt;&gt;0,C42/C38,0)</f>
        <v/>
      </c>
      <c r="D43" s="30">
        <f>IF(D38&lt;&gt;0,D42/D38,0)</f>
        <v/>
      </c>
      <c r="E43" s="30">
        <f>IF(E38&lt;&gt;0,E42/E38,0)</f>
        <v/>
      </c>
      <c r="F43" s="30">
        <f>IF(F38&lt;&gt;0,F42/F38,0)</f>
        <v/>
      </c>
      <c r="I43" t="inlineStr">
        <is>
          <t>F</t>
        </is>
      </c>
    </row>
    <row r="44">
      <c r="A44" s="28" t="inlineStr">
        <is>
          <t>Payback (months)</t>
        </is>
      </c>
      <c r="B44" s="31">
        <f>IF(B39&lt;&gt;0,B38/B39*12,0)</f>
        <v/>
      </c>
      <c r="C44" s="31">
        <f>IF(C39&lt;&gt;0,C38/C39*12,0)</f>
        <v/>
      </c>
      <c r="D44" s="31">
        <f>IF(D39&lt;&gt;0,D38/D39*12,0)</f>
        <v/>
      </c>
      <c r="E44" s="31">
        <f>IF(E39&lt;&gt;0,E38/E39*12,0)</f>
        <v/>
      </c>
      <c r="F44" s="31">
        <f>IF(F39&lt;&gt;0,F38/F39*12,0)</f>
        <v/>
      </c>
      <c r="I44" t="inlineStr">
        <is>
          <t>F</t>
        </is>
      </c>
    </row>
    <row r="45"/>
    <row r="46">
      <c r="A46" s="15" t="inlineStr">
        <is>
          <t>6. Rule of 40 &amp; Burn Multiple</t>
        </is>
      </c>
      <c r="B46" s="43" t="n"/>
      <c r="C46" s="43" t="n"/>
      <c r="D46" s="43" t="n"/>
      <c r="E46" s="43" t="n"/>
      <c r="H46" t="inlineStr">
        <is>
          <t>saas_rule_of_40</t>
        </is>
      </c>
      <c r="I46" t="inlineStr">
        <is>
          <t>S</t>
        </is>
      </c>
    </row>
    <row r="47">
      <c r="A47" s="17" t="inlineStr">
        <is>
          <t>Revenue Growth %</t>
        </is>
      </c>
      <c r="B47" s="27" t="n">
        <v>0</v>
      </c>
      <c r="C47" s="27" t="n">
        <v>2.5</v>
      </c>
      <c r="D47" s="27" t="n">
        <v>1.8</v>
      </c>
      <c r="E47" s="27" t="n">
        <v>1.2</v>
      </c>
      <c r="F47" s="27" t="n">
        <v>0.85</v>
      </c>
      <c r="I47" t="inlineStr">
        <is>
          <t>I</t>
        </is>
      </c>
    </row>
    <row r="48">
      <c r="A48" s="17" t="inlineStr">
        <is>
          <t>EBITDA Margin %</t>
        </is>
      </c>
      <c r="B48" s="27" t="n">
        <v>-0.8</v>
      </c>
      <c r="C48" s="27" t="n">
        <v>-0.4</v>
      </c>
      <c r="D48" s="27" t="n">
        <v>-0.1</v>
      </c>
      <c r="E48" s="27" t="n">
        <v>0.08</v>
      </c>
      <c r="F48" s="27" t="n">
        <v>0.18</v>
      </c>
      <c r="I48" t="inlineStr">
        <is>
          <t>I</t>
        </is>
      </c>
    </row>
    <row r="49">
      <c r="A49" s="19" t="inlineStr">
        <is>
          <t>Rule of 40 Score</t>
        </is>
      </c>
      <c r="B49" s="32">
        <f>B47+B48</f>
        <v/>
      </c>
      <c r="C49" s="32">
        <f>C47+C48</f>
        <v/>
      </c>
      <c r="D49" s="32">
        <f>D47+D48</f>
        <v/>
      </c>
      <c r="E49" s="32">
        <f>E47+E48</f>
        <v/>
      </c>
      <c r="F49" s="32">
        <f>F47+F48</f>
        <v/>
      </c>
      <c r="I49" t="inlineStr">
        <is>
          <t>T</t>
        </is>
      </c>
    </row>
    <row r="50">
      <c r="A50" s="17" t="inlineStr">
        <is>
          <t>Net Burn (cash consumed)</t>
        </is>
      </c>
      <c r="B50" s="18" t="n">
        <v>800</v>
      </c>
      <c r="C50" s="18" t="n">
        <v>1200</v>
      </c>
      <c r="D50" s="18" t="n">
        <v>600</v>
      </c>
      <c r="E50" s="18" t="n">
        <v>0</v>
      </c>
      <c r="F50" s="18" t="n">
        <v>0</v>
      </c>
      <c r="I50" t="inlineStr">
        <is>
          <t>I</t>
        </is>
      </c>
    </row>
    <row r="51">
      <c r="A51" s="17" t="inlineStr">
        <is>
          <t>Net New ARR</t>
        </is>
      </c>
      <c r="B51" s="18" t="n">
        <v>384</v>
      </c>
      <c r="C51" s="18" t="n">
        <v>1416</v>
      </c>
      <c r="D51" s="18" t="n">
        <v>3960</v>
      </c>
      <c r="E51" s="18" t="n">
        <v>8640</v>
      </c>
      <c r="F51" s="18" t="n">
        <v>14400</v>
      </c>
      <c r="I51" t="inlineStr">
        <is>
          <t>I</t>
        </is>
      </c>
    </row>
    <row r="52">
      <c r="A52" s="19" t="inlineStr">
        <is>
          <t>Burn Multiple</t>
        </is>
      </c>
      <c r="B52" s="33">
        <f>IF(B51&lt;&gt;0,B50/B51,0)</f>
        <v/>
      </c>
      <c r="C52" s="33">
        <f>IF(C51&lt;&gt;0,C50/C51,0)</f>
        <v/>
      </c>
      <c r="D52" s="33">
        <f>IF(D51&lt;&gt;0,D50/D51,0)</f>
        <v/>
      </c>
      <c r="E52" s="33">
        <f>IF(E51&lt;&gt;0,E50/E51,0)</f>
        <v/>
      </c>
      <c r="F52" s="33">
        <f>IF(F51&lt;&gt;0,F50/F51,0)</f>
        <v/>
      </c>
      <c r="I52" t="inlineStr">
        <is>
          <t>T</t>
        </is>
      </c>
    </row>
    <row r="53"/>
    <row r="54">
      <c r="A54" s="15" t="inlineStr">
        <is>
          <t>7. Sales Efficiency</t>
        </is>
      </c>
      <c r="B54" s="43" t="n"/>
      <c r="C54" s="43" t="n"/>
      <c r="D54" s="43" t="n"/>
      <c r="E54" s="43" t="n"/>
      <c r="H54" t="inlineStr">
        <is>
          <t>saas_sales_efficiency</t>
        </is>
      </c>
      <c r="I54" t="inlineStr">
        <is>
          <t>S</t>
        </is>
      </c>
    </row>
    <row r="55">
      <c r="A55" s="17" t="inlineStr">
        <is>
          <t>Quarterly Net New ARR</t>
        </is>
      </c>
      <c r="B55" s="18" t="n">
        <v>96</v>
      </c>
      <c r="C55" s="18" t="n">
        <v>354</v>
      </c>
      <c r="D55" s="18" t="n">
        <v>990</v>
      </c>
      <c r="E55" s="18" t="n">
        <v>2160</v>
      </c>
      <c r="F55" s="18" t="n">
        <v>3600</v>
      </c>
      <c r="I55" t="inlineStr">
        <is>
          <t>I</t>
        </is>
      </c>
    </row>
    <row r="56">
      <c r="A56" s="17" t="inlineStr">
        <is>
          <t>Previous Quarter S&amp;M Spend</t>
        </is>
      </c>
      <c r="B56" s="18" t="n">
        <v>45</v>
      </c>
      <c r="C56" s="18" t="n">
        <v>138</v>
      </c>
      <c r="D56" s="18" t="n">
        <v>375</v>
      </c>
      <c r="E56" s="18" t="n">
        <v>875</v>
      </c>
      <c r="F56" s="18" t="n">
        <v>1625</v>
      </c>
      <c r="I56" t="inlineStr">
        <is>
          <t>I</t>
        </is>
      </c>
    </row>
    <row r="57">
      <c r="A57" s="19" t="inlineStr">
        <is>
          <t>Magic Number</t>
        </is>
      </c>
      <c r="B57" s="34">
        <f>IF(B56&lt;&gt;0,B55/B56,0)</f>
        <v/>
      </c>
      <c r="C57" s="34">
        <f>IF(C56&lt;&gt;0,C55/C56,0)</f>
        <v/>
      </c>
      <c r="D57" s="34">
        <f>IF(D56&lt;&gt;0,D55/D56,0)</f>
        <v/>
      </c>
      <c r="E57" s="34">
        <f>IF(E56&lt;&gt;0,E55/E56,0)</f>
        <v/>
      </c>
      <c r="F57" s="34">
        <f>IF(F56&lt;&gt;0,F55/F56,0)</f>
        <v/>
      </c>
      <c r="I57" t="inlineStr">
        <is>
          <t>T</t>
        </is>
      </c>
    </row>
    <row r="58"/>
    <row r="59">
      <c r="A59" s="15" t="inlineStr">
        <is>
          <t>8. P&amp;L Summary</t>
        </is>
      </c>
      <c r="B59" s="43" t="n"/>
      <c r="C59" s="43" t="n"/>
      <c r="D59" s="43" t="n"/>
      <c r="E59" s="43" t="n"/>
      <c r="H59" t="inlineStr">
        <is>
          <t>saas_pnl</t>
        </is>
      </c>
      <c r="I59" t="inlineStr">
        <is>
          <t>S</t>
        </is>
      </c>
    </row>
    <row r="60">
      <c r="A60" s="17" t="inlineStr">
        <is>
          <t>Revenue</t>
        </is>
      </c>
      <c r="B60" s="18" t="n">
        <v>360</v>
      </c>
      <c r="C60" s="18" t="n">
        <v>1200</v>
      </c>
      <c r="D60" s="18" t="n">
        <v>3900</v>
      </c>
      <c r="E60" s="18" t="n">
        <v>11400</v>
      </c>
      <c r="F60" s="18" t="n">
        <v>26700</v>
      </c>
      <c r="I60" t="inlineStr">
        <is>
          <t>I</t>
        </is>
      </c>
    </row>
    <row r="61">
      <c r="A61" s="17" t="inlineStr">
        <is>
          <t>COGS</t>
        </is>
      </c>
      <c r="B61" s="18" t="n">
        <v>100</v>
      </c>
      <c r="C61" s="18" t="n">
        <v>312</v>
      </c>
      <c r="D61" s="18" t="n">
        <v>936</v>
      </c>
      <c r="E61" s="18" t="n">
        <v>2508</v>
      </c>
      <c r="F61" s="18" t="n">
        <v>5340</v>
      </c>
      <c r="I61" t="inlineStr">
        <is>
          <t>I</t>
        </is>
      </c>
    </row>
    <row r="62">
      <c r="A62" s="19" t="inlineStr">
        <is>
          <t>Gross Profit</t>
        </is>
      </c>
      <c r="B62" s="20">
        <f>B60-B61</f>
        <v/>
      </c>
      <c r="C62" s="20">
        <f>C60-C61</f>
        <v/>
      </c>
      <c r="D62" s="20">
        <f>D60-D61</f>
        <v/>
      </c>
      <c r="E62" s="20">
        <f>E60-E61</f>
        <v/>
      </c>
      <c r="F62" s="20">
        <f>F60-F61</f>
        <v/>
      </c>
      <c r="I62" t="inlineStr">
        <is>
          <t>T</t>
        </is>
      </c>
    </row>
    <row r="63">
      <c r="A63" s="17" t="inlineStr">
        <is>
          <t>R&amp;D Expense</t>
        </is>
      </c>
      <c r="B63" s="18" t="n">
        <v>250</v>
      </c>
      <c r="C63" s="18" t="n">
        <v>600</v>
      </c>
      <c r="D63" s="18" t="n">
        <v>1200</v>
      </c>
      <c r="E63" s="18" t="n">
        <v>2400</v>
      </c>
      <c r="F63" s="18" t="n">
        <v>4000</v>
      </c>
      <c r="I63" t="inlineStr">
        <is>
          <t>I</t>
        </is>
      </c>
    </row>
    <row r="64">
      <c r="A64" s="17" t="inlineStr">
        <is>
          <t>S&amp;M Expense</t>
        </is>
      </c>
      <c r="B64" s="18" t="n">
        <v>180</v>
      </c>
      <c r="C64" s="18" t="n">
        <v>550</v>
      </c>
      <c r="D64" s="18" t="n">
        <v>1500</v>
      </c>
      <c r="E64" s="18" t="n">
        <v>3500</v>
      </c>
      <c r="F64" s="18" t="n">
        <v>6500</v>
      </c>
      <c r="I64" t="inlineStr">
        <is>
          <t>I</t>
        </is>
      </c>
    </row>
    <row r="65">
      <c r="A65" s="17" t="inlineStr">
        <is>
          <t>G&amp;A Expense</t>
        </is>
      </c>
      <c r="B65" s="18" t="n">
        <v>80</v>
      </c>
      <c r="C65" s="18" t="n">
        <v>200</v>
      </c>
      <c r="D65" s="18" t="n">
        <v>450</v>
      </c>
      <c r="E65" s="18" t="n">
        <v>900</v>
      </c>
      <c r="F65" s="18" t="n">
        <v>1500</v>
      </c>
      <c r="I65" t="inlineStr">
        <is>
          <t>I</t>
        </is>
      </c>
    </row>
    <row r="66">
      <c r="A66" s="19" t="inlineStr">
        <is>
          <t>Total OPEX</t>
        </is>
      </c>
      <c r="B66" s="20">
        <f>B63+B64+B65</f>
        <v/>
      </c>
      <c r="C66" s="20">
        <f>C63+C64+C65</f>
        <v/>
      </c>
      <c r="D66" s="20">
        <f>D63+D64+D65</f>
        <v/>
      </c>
      <c r="E66" s="20">
        <f>E63+E64+E65</f>
        <v/>
      </c>
      <c r="F66" s="20">
        <f>F63+F64+F65</f>
        <v/>
      </c>
      <c r="I66" t="inlineStr">
        <is>
          <t>T</t>
        </is>
      </c>
    </row>
    <row r="67">
      <c r="A67" s="19" t="inlineStr">
        <is>
          <t>EBITDA</t>
        </is>
      </c>
      <c r="B67" s="20">
        <f>B62-B66</f>
        <v/>
      </c>
      <c r="C67" s="20">
        <f>C62-C66</f>
        <v/>
      </c>
      <c r="D67" s="20">
        <f>D62-D66</f>
        <v/>
      </c>
      <c r="E67" s="20">
        <f>E62-E66</f>
        <v/>
      </c>
      <c r="F67" s="20">
        <f>F62-F66</f>
        <v/>
      </c>
      <c r="I67" t="inlineStr">
        <is>
          <t>T</t>
        </is>
      </c>
    </row>
    <row r="68">
      <c r="A68" s="17" t="inlineStr">
        <is>
          <t>Depreciation &amp; Amortization</t>
        </is>
      </c>
      <c r="B68" s="18" t="n">
        <v>20</v>
      </c>
      <c r="C68" s="18" t="n">
        <v>50</v>
      </c>
      <c r="D68" s="18" t="n">
        <v>120</v>
      </c>
      <c r="E68" s="18" t="n">
        <v>250</v>
      </c>
      <c r="F68" s="18" t="n">
        <v>400</v>
      </c>
      <c r="I68" t="inlineStr">
        <is>
          <t>I</t>
        </is>
      </c>
    </row>
    <row r="69">
      <c r="A69" s="17" t="inlineStr">
        <is>
          <t>Interest Expense</t>
        </is>
      </c>
      <c r="B69" s="18" t="n">
        <v>5</v>
      </c>
      <c r="C69" s="18" t="n">
        <v>15</v>
      </c>
      <c r="D69" s="18" t="n">
        <v>30</v>
      </c>
      <c r="E69" s="18" t="n">
        <v>20</v>
      </c>
      <c r="F69" s="18" t="n">
        <v>10</v>
      </c>
      <c r="I69" t="inlineStr">
        <is>
          <t>I</t>
        </is>
      </c>
    </row>
    <row r="70">
      <c r="A70" s="17" t="inlineStr">
        <is>
          <t>Tax</t>
        </is>
      </c>
      <c r="B70" s="18" t="n">
        <v>0</v>
      </c>
      <c r="C70" s="18" t="n">
        <v>0</v>
      </c>
      <c r="D70" s="18" t="n">
        <v>0</v>
      </c>
      <c r="E70" s="18" t="n">
        <v>200</v>
      </c>
      <c r="F70" s="18" t="n">
        <v>1200</v>
      </c>
      <c r="I70" t="inlineStr">
        <is>
          <t>I</t>
        </is>
      </c>
    </row>
    <row r="71">
      <c r="A71" s="21" t="inlineStr">
        <is>
          <t>PAT (Profit After Tax)</t>
        </is>
      </c>
      <c r="B71" s="35">
        <f>B67-B68-B69-B70</f>
        <v/>
      </c>
      <c r="C71" s="35">
        <f>C67-C68-C69-C70</f>
        <v/>
      </c>
      <c r="D71" s="35">
        <f>D67-D68-D69-D70</f>
        <v/>
      </c>
      <c r="E71" s="35">
        <f>E67-E68-E69-E70</f>
        <v/>
      </c>
      <c r="F71" s="35">
        <f>F67-F68-F69-F70</f>
        <v/>
      </c>
      <c r="I71" t="inlineStr">
        <is>
          <t>T</t>
        </is>
      </c>
    </row>
    <row r="72"/>
    <row r="73">
      <c r="A73" s="15" t="inlineStr">
        <is>
          <t>9. Cash &amp; Runway</t>
        </is>
      </c>
      <c r="B73" s="43" t="n"/>
      <c r="C73" s="43" t="n"/>
      <c r="D73" s="43" t="n"/>
      <c r="E73" s="43" t="n"/>
      <c r="H73" t="inlineStr">
        <is>
          <t>saas_cash_runway</t>
        </is>
      </c>
      <c r="I73" t="inlineStr">
        <is>
          <t>S</t>
        </is>
      </c>
    </row>
    <row r="74">
      <c r="A74" s="17" t="inlineStr">
        <is>
          <t>Opening Cash</t>
        </is>
      </c>
      <c r="B74" s="18" t="n">
        <v>2000</v>
      </c>
      <c r="C74" s="18" t="n">
        <v>4500</v>
      </c>
      <c r="D74" s="18" t="n">
        <v>18000</v>
      </c>
      <c r="E74" s="18" t="n">
        <v>14500</v>
      </c>
      <c r="F74" s="18" t="n">
        <v>22000</v>
      </c>
      <c r="I74" t="inlineStr">
        <is>
          <t>I</t>
        </is>
      </c>
    </row>
    <row r="75">
      <c r="A75" s="17" t="inlineStr">
        <is>
          <t>Cash Flow from Operations</t>
        </is>
      </c>
      <c r="B75" s="18" t="n">
        <v>-800</v>
      </c>
      <c r="C75" s="18" t="n">
        <v>-1200</v>
      </c>
      <c r="D75" s="18" t="n">
        <v>-400</v>
      </c>
      <c r="E75" s="18" t="n">
        <v>1500</v>
      </c>
      <c r="F75" s="18" t="n">
        <v>5000</v>
      </c>
      <c r="I75" t="inlineStr">
        <is>
          <t>I</t>
        </is>
      </c>
    </row>
    <row r="76">
      <c r="A76" s="17" t="inlineStr">
        <is>
          <t>Equity Raised</t>
        </is>
      </c>
      <c r="B76" s="18" t="n">
        <v>3000</v>
      </c>
      <c r="C76" s="18" t="n">
        <v>15000</v>
      </c>
      <c r="D76" s="18" t="n">
        <v>0</v>
      </c>
      <c r="E76" s="18" t="n">
        <v>10000</v>
      </c>
      <c r="F76" s="18" t="n">
        <v>0</v>
      </c>
      <c r="I76" t="inlineStr">
        <is>
          <t>I</t>
        </is>
      </c>
    </row>
    <row r="77">
      <c r="A77" s="19" t="inlineStr">
        <is>
          <t>Closing Cash</t>
        </is>
      </c>
      <c r="B77" s="20">
        <f>B74+B75+B76</f>
        <v/>
      </c>
      <c r="C77" s="20">
        <f>C74+C75+C76</f>
        <v/>
      </c>
      <c r="D77" s="20">
        <f>D74+D75+D76</f>
        <v/>
      </c>
      <c r="E77" s="20">
        <f>E74+E75+E76</f>
        <v/>
      </c>
      <c r="F77" s="20">
        <f>F74+F75+F76</f>
        <v/>
      </c>
      <c r="I77" t="inlineStr">
        <is>
          <t>T</t>
        </is>
      </c>
    </row>
    <row r="78">
      <c r="A78" s="17" t="inlineStr">
        <is>
          <t>Monthly Burn Rate</t>
        </is>
      </c>
      <c r="B78" s="18" t="n">
        <v>70</v>
      </c>
      <c r="C78" s="18" t="n">
        <v>100</v>
      </c>
      <c r="D78" s="18" t="n">
        <v>35</v>
      </c>
      <c r="E78" s="18" t="n">
        <v>0</v>
      </c>
      <c r="F78" s="18" t="n">
        <v>0</v>
      </c>
      <c r="I78" t="inlineStr">
        <is>
          <t>I</t>
        </is>
      </c>
    </row>
    <row r="79">
      <c r="A79" s="19" t="inlineStr">
        <is>
          <t>Runway (months)</t>
        </is>
      </c>
      <c r="B79" s="36">
        <f>IF(B78&lt;&gt;0,B77/B78,0)</f>
        <v/>
      </c>
      <c r="C79" s="36">
        <f>IF(C78&lt;&gt;0,C77/C78,0)</f>
        <v/>
      </c>
      <c r="D79" s="36">
        <f>IF(D78&lt;&gt;0,D77/D78,0)</f>
        <v/>
      </c>
      <c r="E79" s="36">
        <f>IF(E78&lt;&gt;0,E77/E78,0)</f>
        <v/>
      </c>
      <c r="F79" s="36">
        <f>IF(F78&lt;&gt;0,F77/F78,0)</f>
        <v/>
      </c>
      <c r="I79" t="inlineStr">
        <is>
          <t>T</t>
        </is>
      </c>
    </row>
    <row r="80"/>
    <row r="81">
      <c r="A81" s="15" t="inlineStr">
        <is>
          <t>10. Fundraising &amp; Cap Table</t>
        </is>
      </c>
      <c r="B81" s="43" t="n"/>
      <c r="C81" s="43" t="n"/>
      <c r="D81" s="43" t="n"/>
      <c r="E81" s="43" t="n"/>
      <c r="H81" t="inlineStr">
        <is>
          <t>saas_fundraising</t>
        </is>
      </c>
      <c r="I81" t="inlineStr">
        <is>
          <t>S</t>
        </is>
      </c>
    </row>
    <row r="82">
      <c r="A82" s="37" t="inlineStr">
        <is>
          <t>Round Name</t>
        </is>
      </c>
      <c r="B82" s="38" t="inlineStr">
        <is>
          <t>Pre-Seed</t>
        </is>
      </c>
      <c r="C82" s="38" t="inlineStr">
        <is>
          <t>Seed</t>
        </is>
      </c>
      <c r="D82" s="38" t="inlineStr">
        <is>
          <t>Series A</t>
        </is>
      </c>
      <c r="E82" s="38" t="inlineStr">
        <is>
          <t>Series B</t>
        </is>
      </c>
      <c r="F82" s="38" t="inlineStr">
        <is>
          <t>—</t>
        </is>
      </c>
      <c r="I82" t="inlineStr">
        <is>
          <t>I</t>
        </is>
      </c>
    </row>
    <row r="83">
      <c r="A83" s="17" t="inlineStr">
        <is>
          <t>Amount Raised</t>
        </is>
      </c>
      <c r="B83" s="18" t="n">
        <v>500</v>
      </c>
      <c r="C83" s="18" t="n">
        <v>3000</v>
      </c>
      <c r="D83" s="18" t="n">
        <v>15000</v>
      </c>
      <c r="E83" s="18" t="n">
        <v>10000</v>
      </c>
      <c r="F83" s="18" t="n">
        <v>0</v>
      </c>
      <c r="I83" t="inlineStr">
        <is>
          <t>I</t>
        </is>
      </c>
    </row>
    <row r="84">
      <c r="A84" s="17" t="inlineStr">
        <is>
          <t>Pre-Money Valuation</t>
        </is>
      </c>
      <c r="B84" s="18" t="n">
        <v>2000</v>
      </c>
      <c r="C84" s="18" t="n">
        <v>8000</v>
      </c>
      <c r="D84" s="18" t="n">
        <v>45000</v>
      </c>
      <c r="E84" s="18" t="n">
        <v>120000</v>
      </c>
      <c r="F84" s="18" t="n">
        <v>0</v>
      </c>
      <c r="I84" t="inlineStr">
        <is>
          <t>I</t>
        </is>
      </c>
    </row>
    <row r="85">
      <c r="A85" s="17" t="inlineStr">
        <is>
          <t>Post-Money Valuation</t>
        </is>
      </c>
      <c r="B85" s="18" t="n">
        <v>2500</v>
      </c>
      <c r="C85" s="18" t="n">
        <v>11000</v>
      </c>
      <c r="D85" s="18" t="n">
        <v>60000</v>
      </c>
      <c r="E85" s="18" t="n">
        <v>130000</v>
      </c>
      <c r="F85" s="18" t="n">
        <v>0</v>
      </c>
      <c r="I85" t="inlineStr">
        <is>
          <t>I</t>
        </is>
      </c>
    </row>
    <row r="86">
      <c r="A86" s="17" t="inlineStr">
        <is>
          <t>Dilution %</t>
        </is>
      </c>
      <c r="B86" s="27" t="n">
        <v>0.2</v>
      </c>
      <c r="C86" s="27" t="n">
        <v>0.27</v>
      </c>
      <c r="D86" s="27" t="n">
        <v>0.25</v>
      </c>
      <c r="E86" s="27" t="n">
        <v>0.077</v>
      </c>
      <c r="F86" s="27" t="n">
        <v>0</v>
      </c>
      <c r="I86" t="inlineStr">
        <is>
          <t>I</t>
        </is>
      </c>
    </row>
    <row r="87"/>
    <row r="88">
      <c r="A88" s="39" t="inlineStr">
        <is>
          <t>Cap Table Evolution (%)</t>
        </is>
      </c>
      <c r="I88" t="inlineStr">
        <is>
          <t>H</t>
        </is>
      </c>
    </row>
    <row r="89">
      <c r="A89" s="17" t="inlineStr">
        <is>
          <t>Founders %</t>
        </is>
      </c>
      <c r="B89" s="27" t="n">
        <v>80</v>
      </c>
      <c r="C89" s="27" t="n">
        <v>58.4</v>
      </c>
      <c r="D89" s="27" t="n">
        <v>43.8</v>
      </c>
      <c r="E89" s="27" t="n">
        <v>40.4</v>
      </c>
      <c r="F89" s="27" t="n">
        <v>40.4</v>
      </c>
      <c r="I89" t="inlineStr">
        <is>
          <t>I</t>
        </is>
      </c>
    </row>
    <row r="90">
      <c r="A90" s="17" t="inlineStr">
        <is>
          <t>ESOP %</t>
        </is>
      </c>
      <c r="B90" s="27" t="n">
        <v>0</v>
      </c>
      <c r="C90" s="27" t="n">
        <v>5</v>
      </c>
      <c r="D90" s="27" t="n">
        <v>7.5</v>
      </c>
      <c r="E90" s="27" t="n">
        <v>8</v>
      </c>
      <c r="F90" s="27" t="n">
        <v>10</v>
      </c>
      <c r="I90" t="inlineStr">
        <is>
          <t>I</t>
        </is>
      </c>
    </row>
    <row r="91">
      <c r="A91" s="17" t="inlineStr">
        <is>
          <t>Seed Investors %</t>
        </is>
      </c>
      <c r="B91" s="27" t="n">
        <v>0</v>
      </c>
      <c r="C91" s="27" t="n">
        <v>27.3</v>
      </c>
      <c r="D91" s="27" t="n">
        <v>20.5</v>
      </c>
      <c r="E91" s="27" t="n">
        <v>18.9</v>
      </c>
      <c r="F91" s="27" t="n">
        <v>18.9</v>
      </c>
      <c r="I91" t="inlineStr">
        <is>
          <t>I</t>
        </is>
      </c>
    </row>
    <row r="92">
      <c r="A92" s="17" t="inlineStr">
        <is>
          <t>Series A %</t>
        </is>
      </c>
      <c r="B92" s="27" t="n">
        <v>0</v>
      </c>
      <c r="C92" s="27" t="n">
        <v>0</v>
      </c>
      <c r="D92" s="27" t="n">
        <v>25</v>
      </c>
      <c r="E92" s="27" t="n">
        <v>23.1</v>
      </c>
      <c r="F92" s="27" t="n">
        <v>23.1</v>
      </c>
      <c r="I92" t="inlineStr">
        <is>
          <t>I</t>
        </is>
      </c>
    </row>
    <row r="93">
      <c r="A93" s="17" t="inlineStr">
        <is>
          <t>Series B %</t>
        </is>
      </c>
      <c r="B93" s="27" t="n">
        <v>0</v>
      </c>
      <c r="C93" s="27" t="n">
        <v>0</v>
      </c>
      <c r="D93" s="27" t="n">
        <v>0</v>
      </c>
      <c r="E93" s="27" t="n">
        <v>7.7</v>
      </c>
      <c r="F93" s="27" t="n">
        <v>7.7</v>
      </c>
      <c r="I93" t="inlineStr">
        <is>
          <t>I</t>
        </is>
      </c>
    </row>
    <row r="94">
      <c r="A94" s="17" t="inlineStr">
        <is>
          <t>Others %</t>
        </is>
      </c>
      <c r="B94" s="27" t="n">
        <v>20</v>
      </c>
      <c r="C94" s="27" t="n">
        <v>9.300000000000001</v>
      </c>
      <c r="D94" s="27" t="n">
        <v>3.2</v>
      </c>
      <c r="E94" s="27" t="n">
        <v>1.9</v>
      </c>
      <c r="F94" s="27" t="n">
        <v>0</v>
      </c>
      <c r="I94" t="inlineStr">
        <is>
          <t>I</t>
        </is>
      </c>
    </row>
    <row r="95">
      <c r="A95" s="19" t="inlineStr">
        <is>
          <t>Total %</t>
        </is>
      </c>
      <c r="B95" s="32">
        <f>B89+B90+B91+B92+B93+B94</f>
        <v/>
      </c>
      <c r="C95" s="32">
        <f>C89+C90+C91+C92+C93+C94</f>
        <v/>
      </c>
      <c r="D95" s="32">
        <f>D89+D90+D91+D92+D93+D94</f>
        <v/>
      </c>
      <c r="E95" s="32">
        <f>E89+E90+E91+E92+E93+E94</f>
        <v/>
      </c>
      <c r="F95" s="32">
        <f>F89+F90+F91+F92+F93+F94</f>
        <v/>
      </c>
      <c r="I95" t="inlineStr">
        <is>
          <t>T</t>
        </is>
      </c>
    </row>
  </sheetData>
  <mergeCells count="12">
    <mergeCell ref="A2:F2"/>
    <mergeCell ref="A12:E12"/>
    <mergeCell ref="A4:E4"/>
    <mergeCell ref="A59:E59"/>
    <mergeCell ref="A35:E35"/>
    <mergeCell ref="A73:E73"/>
    <mergeCell ref="A54:E54"/>
    <mergeCell ref="A81:E81"/>
    <mergeCell ref="A1:F1"/>
    <mergeCell ref="A19:E19"/>
    <mergeCell ref="A46:E46"/>
    <mergeCell ref="A27:E2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6B6B6B"/>
    <outlinePr summaryBelow="1" summaryRight="1"/>
    <pageSetUpPr/>
  </sheetPr>
  <dimension ref="A1:I134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3" customWidth="1" min="7" max="7"/>
    <col hidden="1" width="0.5" customWidth="1" min="8" max="8"/>
    <col hidden="1" width="0.5" customWidth="1" min="9" max="9"/>
  </cols>
  <sheetData>
    <row r="1">
      <c r="A1" s="1" t="inlineStr">
        <is>
          <t>RUBAN — D2C Projections</t>
        </is>
      </c>
    </row>
    <row r="2">
      <c r="A2" s="3" t="inlineStr">
        <is>
          <t>Fill only sections marked "Yes" on the Checklist sheet. Blue cells = your inputs. Black cells = formulas (auto-calculated).</t>
        </is>
      </c>
    </row>
    <row r="3">
      <c r="A3" s="6" t="inlineStr"/>
      <c r="B3" s="6" t="inlineStr">
        <is>
          <t>Year 1</t>
        </is>
      </c>
      <c r="C3" s="6" t="inlineStr">
        <is>
          <t>Year 2</t>
        </is>
      </c>
      <c r="D3" s="6" t="inlineStr">
        <is>
          <t>Year 3</t>
        </is>
      </c>
      <c r="E3" s="6" t="inlineStr">
        <is>
          <t>Year 4</t>
        </is>
      </c>
      <c r="F3" s="6" t="inlineStr">
        <is>
          <t>Year 5</t>
        </is>
      </c>
    </row>
    <row r="4">
      <c r="A4" s="15" t="inlineStr">
        <is>
          <t>1. GMV &amp; AOV</t>
        </is>
      </c>
      <c r="B4" s="43" t="n"/>
      <c r="C4" s="43" t="n"/>
      <c r="D4" s="43" t="n"/>
      <c r="E4" s="43" t="n"/>
      <c r="H4" t="inlineStr">
        <is>
          <t>d2c_gmv_aov</t>
        </is>
      </c>
      <c r="I4" t="inlineStr">
        <is>
          <t>S</t>
        </is>
      </c>
    </row>
    <row r="5">
      <c r="A5" s="39" t="inlineStr">
        <is>
          <t xml:space="preserve">  Website</t>
        </is>
      </c>
      <c r="I5" t="inlineStr">
        <is>
          <t>H</t>
        </is>
      </c>
    </row>
    <row r="6">
      <c r="A6" s="40" t="inlineStr">
        <is>
          <t xml:space="preserve">  Customers</t>
        </is>
      </c>
      <c r="B6" s="23" t="n"/>
      <c r="C6" s="23" t="n"/>
      <c r="D6" s="23" t="n"/>
      <c r="E6" s="23" t="n"/>
      <c r="F6" s="23" t="n"/>
      <c r="I6" t="inlineStr">
        <is>
          <t>I</t>
        </is>
      </c>
    </row>
    <row r="7">
      <c r="A7" s="40" t="inlineStr">
        <is>
          <t xml:space="preserve">  Orders/Customer</t>
        </is>
      </c>
      <c r="B7" s="41" t="n"/>
      <c r="C7" s="41" t="n"/>
      <c r="D7" s="41" t="n"/>
      <c r="E7" s="41" t="n"/>
      <c r="F7" s="41" t="n"/>
      <c r="I7" t="inlineStr">
        <is>
          <t>I</t>
        </is>
      </c>
    </row>
    <row r="8">
      <c r="A8" s="40" t="inlineStr">
        <is>
          <t xml:space="preserve">  AOV</t>
        </is>
      </c>
      <c r="B8" s="18" t="n"/>
      <c r="C8" s="18" t="n"/>
      <c r="D8" s="18" t="n"/>
      <c r="E8" s="18" t="n"/>
      <c r="F8" s="18" t="n"/>
      <c r="I8" t="inlineStr">
        <is>
          <t>I</t>
        </is>
      </c>
    </row>
    <row r="9">
      <c r="A9" s="19" t="inlineStr">
        <is>
          <t xml:space="preserve">  GMV — Website</t>
        </is>
      </c>
      <c r="B9" s="20">
        <f>B6*B7*B8</f>
        <v/>
      </c>
      <c r="C9" s="20">
        <f>C6*C7*C8</f>
        <v/>
      </c>
      <c r="D9" s="20">
        <f>D6*D7*D8</f>
        <v/>
      </c>
      <c r="E9" s="20">
        <f>E6*E7*E8</f>
        <v/>
      </c>
      <c r="F9" s="20">
        <f>F6*F7*F8</f>
        <v/>
      </c>
      <c r="I9" t="inlineStr">
        <is>
          <t>T</t>
        </is>
      </c>
    </row>
    <row r="10">
      <c r="A10" s="39" t="inlineStr">
        <is>
          <t xml:space="preserve">  Retail</t>
        </is>
      </c>
      <c r="I10" t="inlineStr">
        <is>
          <t>H</t>
        </is>
      </c>
    </row>
    <row r="11">
      <c r="A11" s="40" t="inlineStr">
        <is>
          <t xml:space="preserve">  Customers</t>
        </is>
      </c>
      <c r="B11" s="23" t="n"/>
      <c r="C11" s="23" t="n"/>
      <c r="D11" s="23" t="n"/>
      <c r="E11" s="23" t="n"/>
      <c r="F11" s="23" t="n"/>
      <c r="I11" t="inlineStr">
        <is>
          <t>I</t>
        </is>
      </c>
    </row>
    <row r="12">
      <c r="A12" s="40" t="inlineStr">
        <is>
          <t xml:space="preserve">  Orders/Customer</t>
        </is>
      </c>
      <c r="B12" s="41" t="n"/>
      <c r="C12" s="41" t="n"/>
      <c r="D12" s="41" t="n"/>
      <c r="E12" s="41" t="n"/>
      <c r="F12" s="41" t="n"/>
      <c r="I12" t="inlineStr">
        <is>
          <t>I</t>
        </is>
      </c>
    </row>
    <row r="13">
      <c r="A13" s="40" t="inlineStr">
        <is>
          <t xml:space="preserve">  AOV</t>
        </is>
      </c>
      <c r="B13" s="18" t="n"/>
      <c r="C13" s="18" t="n"/>
      <c r="D13" s="18" t="n"/>
      <c r="E13" s="18" t="n"/>
      <c r="F13" s="18" t="n"/>
      <c r="I13" t="inlineStr">
        <is>
          <t>I</t>
        </is>
      </c>
    </row>
    <row r="14">
      <c r="A14" s="19" t="inlineStr">
        <is>
          <t xml:space="preserve">  GMV — Retail</t>
        </is>
      </c>
      <c r="B14" s="20">
        <f>B11*B12*B13</f>
        <v/>
      </c>
      <c r="C14" s="20">
        <f>C11*C12*C13</f>
        <v/>
      </c>
      <c r="D14" s="20">
        <f>D11*D12*D13</f>
        <v/>
      </c>
      <c r="E14" s="20">
        <f>E11*E12*E13</f>
        <v/>
      </c>
      <c r="F14" s="20">
        <f>F11*F12*F13</f>
        <v/>
      </c>
      <c r="I14" t="inlineStr">
        <is>
          <t>T</t>
        </is>
      </c>
    </row>
    <row r="15">
      <c r="A15" s="39" t="inlineStr">
        <is>
          <t xml:space="preserve">  Marketplace</t>
        </is>
      </c>
      <c r="I15" t="inlineStr">
        <is>
          <t>H</t>
        </is>
      </c>
    </row>
    <row r="16">
      <c r="A16" s="40" t="inlineStr">
        <is>
          <t xml:space="preserve">  Customers</t>
        </is>
      </c>
      <c r="B16" s="23" t="n"/>
      <c r="C16" s="23" t="n"/>
      <c r="D16" s="23" t="n"/>
      <c r="E16" s="23" t="n"/>
      <c r="F16" s="23" t="n"/>
      <c r="I16" t="inlineStr">
        <is>
          <t>I</t>
        </is>
      </c>
    </row>
    <row r="17">
      <c r="A17" s="40" t="inlineStr">
        <is>
          <t xml:space="preserve">  Orders/Customer</t>
        </is>
      </c>
      <c r="B17" s="41" t="n"/>
      <c r="C17" s="41" t="n"/>
      <c r="D17" s="41" t="n"/>
      <c r="E17" s="41" t="n"/>
      <c r="F17" s="41" t="n"/>
      <c r="I17" t="inlineStr">
        <is>
          <t>I</t>
        </is>
      </c>
    </row>
    <row r="18">
      <c r="A18" s="40" t="inlineStr">
        <is>
          <t xml:space="preserve">  AOV</t>
        </is>
      </c>
      <c r="B18" s="18" t="n"/>
      <c r="C18" s="18" t="n"/>
      <c r="D18" s="18" t="n"/>
      <c r="E18" s="18" t="n"/>
      <c r="F18" s="18" t="n"/>
      <c r="I18" t="inlineStr">
        <is>
          <t>I</t>
        </is>
      </c>
    </row>
    <row r="19">
      <c r="A19" s="19" t="inlineStr">
        <is>
          <t xml:space="preserve">  GMV — Marketplace</t>
        </is>
      </c>
      <c r="B19" s="20">
        <f>B16*B17*B18</f>
        <v/>
      </c>
      <c r="C19" s="20">
        <f>C16*C17*C18</f>
        <v/>
      </c>
      <c r="D19" s="20">
        <f>D16*D17*D18</f>
        <v/>
      </c>
      <c r="E19" s="20">
        <f>E16*E17*E18</f>
        <v/>
      </c>
      <c r="F19" s="20">
        <f>F16*F17*F18</f>
        <v/>
      </c>
      <c r="I19" t="inlineStr">
        <is>
          <t>T</t>
        </is>
      </c>
    </row>
    <row r="20">
      <c r="A20" s="17" t="inlineStr">
        <is>
          <t>Blended AOV</t>
        </is>
      </c>
      <c r="B20" s="18" t="n"/>
      <c r="C20" s="18" t="n"/>
      <c r="D20" s="18" t="n"/>
      <c r="E20" s="18" t="n"/>
      <c r="F20" s="18" t="n"/>
      <c r="I20" t="inlineStr">
        <is>
          <t>I</t>
        </is>
      </c>
    </row>
    <row r="21">
      <c r="A21" s="21" t="inlineStr">
        <is>
          <t>Total GMV</t>
        </is>
      </c>
      <c r="B21" s="35">
        <f>B9+B14+B19</f>
        <v/>
      </c>
      <c r="C21" s="35">
        <f>C9+C14+C19</f>
        <v/>
      </c>
      <c r="D21" s="35">
        <f>D9+D14+D19</f>
        <v/>
      </c>
      <c r="E21" s="35">
        <f>E9+E14+E19</f>
        <v/>
      </c>
      <c r="F21" s="35">
        <f>F9+F14+F19</f>
        <v/>
      </c>
      <c r="I21" t="inlineStr">
        <is>
          <t>T</t>
        </is>
      </c>
    </row>
    <row r="23">
      <c r="A23" s="15" t="inlineStr">
        <is>
          <t>2. Channel Revenue Breakup</t>
        </is>
      </c>
      <c r="B23" s="43" t="n"/>
      <c r="C23" s="43" t="n"/>
      <c r="D23" s="43" t="n"/>
      <c r="E23" s="43" t="n"/>
      <c r="H23" t="inlineStr">
        <is>
          <t>d2c_channel_revenue</t>
        </is>
      </c>
      <c r="I23" t="inlineStr">
        <is>
          <t>S</t>
        </is>
      </c>
    </row>
    <row r="24">
      <c r="A24" s="17" t="inlineStr">
        <is>
          <t>Website — GMV</t>
        </is>
      </c>
      <c r="B24" s="18" t="n"/>
      <c r="C24" s="18" t="n"/>
      <c r="D24" s="18" t="n"/>
      <c r="E24" s="18" t="n"/>
      <c r="F24" s="18" t="n"/>
      <c r="I24" t="inlineStr">
        <is>
          <t>I</t>
        </is>
      </c>
    </row>
    <row r="25">
      <c r="A25" s="17" t="inlineStr">
        <is>
          <t>Website — Return Rate</t>
        </is>
      </c>
      <c r="B25" s="27" t="n"/>
      <c r="C25" s="27" t="n"/>
      <c r="D25" s="27" t="n"/>
      <c r="E25" s="27" t="n"/>
      <c r="F25" s="27" t="n"/>
      <c r="I25" t="inlineStr">
        <is>
          <t>I</t>
        </is>
      </c>
    </row>
    <row r="26">
      <c r="A26" s="19" t="inlineStr">
        <is>
          <t>Website — Net Revenue</t>
        </is>
      </c>
      <c r="B26" s="20">
        <f>B24*(1-B25)</f>
        <v/>
      </c>
      <c r="C26" s="20">
        <f>C24*(1-C25)</f>
        <v/>
      </c>
      <c r="D26" s="20">
        <f>D24*(1-D25)</f>
        <v/>
      </c>
      <c r="E26" s="20">
        <f>E24*(1-E25)</f>
        <v/>
      </c>
      <c r="F26" s="20">
        <f>F24*(1-F25)</f>
        <v/>
      </c>
      <c r="I26" t="inlineStr">
        <is>
          <t>T</t>
        </is>
      </c>
    </row>
    <row r="27">
      <c r="A27" s="17" t="inlineStr">
        <is>
          <t>Retail — GMV</t>
        </is>
      </c>
      <c r="B27" s="18" t="n"/>
      <c r="C27" s="18" t="n"/>
      <c r="D27" s="18" t="n"/>
      <c r="E27" s="18" t="n"/>
      <c r="F27" s="18" t="n"/>
      <c r="I27" t="inlineStr">
        <is>
          <t>I</t>
        </is>
      </c>
    </row>
    <row r="28">
      <c r="A28" s="17" t="inlineStr">
        <is>
          <t>Retail — Return Rate</t>
        </is>
      </c>
      <c r="B28" s="27" t="n"/>
      <c r="C28" s="27" t="n"/>
      <c r="D28" s="27" t="n"/>
      <c r="E28" s="27" t="n"/>
      <c r="F28" s="27" t="n"/>
      <c r="I28" t="inlineStr">
        <is>
          <t>I</t>
        </is>
      </c>
    </row>
    <row r="29">
      <c r="A29" s="19" t="inlineStr">
        <is>
          <t>Retail — Net Revenue</t>
        </is>
      </c>
      <c r="B29" s="20">
        <f>B27*(1-B28)</f>
        <v/>
      </c>
      <c r="C29" s="20">
        <f>C27*(1-C28)</f>
        <v/>
      </c>
      <c r="D29" s="20">
        <f>D27*(1-D28)</f>
        <v/>
      </c>
      <c r="E29" s="20">
        <f>E27*(1-E28)</f>
        <v/>
      </c>
      <c r="F29" s="20">
        <f>F27*(1-F28)</f>
        <v/>
      </c>
      <c r="I29" t="inlineStr">
        <is>
          <t>T</t>
        </is>
      </c>
    </row>
    <row r="30">
      <c r="A30" s="17" t="inlineStr">
        <is>
          <t>Marketplace — GMV</t>
        </is>
      </c>
      <c r="B30" s="18" t="n"/>
      <c r="C30" s="18" t="n"/>
      <c r="D30" s="18" t="n"/>
      <c r="E30" s="18" t="n"/>
      <c r="F30" s="18" t="n"/>
      <c r="I30" t="inlineStr">
        <is>
          <t>I</t>
        </is>
      </c>
    </row>
    <row r="31">
      <c r="A31" s="17" t="inlineStr">
        <is>
          <t>Marketplace — Return Rate</t>
        </is>
      </c>
      <c r="B31" s="27" t="n"/>
      <c r="C31" s="27" t="n"/>
      <c r="D31" s="27" t="n"/>
      <c r="E31" s="27" t="n"/>
      <c r="F31" s="27" t="n"/>
      <c r="I31" t="inlineStr">
        <is>
          <t>I</t>
        </is>
      </c>
    </row>
    <row r="32">
      <c r="A32" s="17" t="inlineStr">
        <is>
          <t>Marketplace — Commission %</t>
        </is>
      </c>
      <c r="B32" s="27" t="n"/>
      <c r="C32" s="27" t="n"/>
      <c r="D32" s="27" t="n"/>
      <c r="E32" s="27" t="n"/>
      <c r="F32" s="27" t="n"/>
      <c r="I32" t="inlineStr">
        <is>
          <t>I</t>
        </is>
      </c>
    </row>
    <row r="33">
      <c r="A33" s="19" t="inlineStr">
        <is>
          <t>Marketplace — Net Revenue</t>
        </is>
      </c>
      <c r="B33" s="20">
        <f>B30*(1-B31)*(1-B32)</f>
        <v/>
      </c>
      <c r="C33" s="20">
        <f>C30*(1-C31)*(1-C32)</f>
        <v/>
      </c>
      <c r="D33" s="20">
        <f>D30*(1-D31)*(1-D32)</f>
        <v/>
      </c>
      <c r="E33" s="20">
        <f>E30*(1-E31)*(1-E32)</f>
        <v/>
      </c>
      <c r="F33" s="20">
        <f>F30*(1-F31)*(1-F32)</f>
        <v/>
      </c>
      <c r="I33" t="inlineStr">
        <is>
          <t>T</t>
        </is>
      </c>
    </row>
    <row r="34">
      <c r="A34" s="21" t="inlineStr">
        <is>
          <t>Total Net Revenue</t>
        </is>
      </c>
      <c r="B34" s="35">
        <f>B26+B29+B33</f>
        <v/>
      </c>
      <c r="C34" s="35">
        <f>C26+C29+C33</f>
        <v/>
      </c>
      <c r="D34" s="35">
        <f>D26+D29+D33</f>
        <v/>
      </c>
      <c r="E34" s="35">
        <f>E26+E29+E33</f>
        <v/>
      </c>
      <c r="F34" s="35">
        <f>F26+F29+F33</f>
        <v/>
      </c>
      <c r="I34" t="inlineStr">
        <is>
          <t>T</t>
        </is>
      </c>
    </row>
    <row r="36">
      <c r="A36" s="15" t="inlineStr">
        <is>
          <t>3. Return Rates &amp; Net Revenue</t>
        </is>
      </c>
      <c r="B36" s="43" t="n"/>
      <c r="C36" s="43" t="n"/>
      <c r="D36" s="43" t="n"/>
      <c r="E36" s="43" t="n"/>
      <c r="H36" t="inlineStr">
        <is>
          <t>d2c_return_rates</t>
        </is>
      </c>
      <c r="I36" t="inlineStr">
        <is>
          <t>S</t>
        </is>
      </c>
    </row>
    <row r="37">
      <c r="A37" s="17" t="inlineStr">
        <is>
          <t>Website — Gross Revenue</t>
        </is>
      </c>
      <c r="B37" s="18" t="n"/>
      <c r="C37" s="18" t="n"/>
      <c r="D37" s="18" t="n"/>
      <c r="E37" s="18" t="n"/>
      <c r="F37" s="18" t="n"/>
      <c r="I37" t="inlineStr">
        <is>
          <t>I</t>
        </is>
      </c>
    </row>
    <row r="38">
      <c r="A38" s="17" t="inlineStr">
        <is>
          <t>Website — Returns</t>
        </is>
      </c>
      <c r="B38" s="18" t="n"/>
      <c r="C38" s="18" t="n"/>
      <c r="D38" s="18" t="n"/>
      <c r="E38" s="18" t="n"/>
      <c r="F38" s="18" t="n"/>
      <c r="I38" t="inlineStr">
        <is>
          <t>I</t>
        </is>
      </c>
    </row>
    <row r="39">
      <c r="A39" s="19" t="inlineStr">
        <is>
          <t>Website — Net Revenue</t>
        </is>
      </c>
      <c r="B39" s="20">
        <f>B37-B38</f>
        <v/>
      </c>
      <c r="C39" s="20">
        <f>C37-C38</f>
        <v/>
      </c>
      <c r="D39" s="20">
        <f>D37-D38</f>
        <v/>
      </c>
      <c r="E39" s="20">
        <f>E37-E38</f>
        <v/>
      </c>
      <c r="F39" s="20">
        <f>F37-F38</f>
        <v/>
      </c>
      <c r="I39" t="inlineStr">
        <is>
          <t>T</t>
        </is>
      </c>
    </row>
    <row r="40">
      <c r="A40" s="17" t="inlineStr">
        <is>
          <t>Retail — Gross Revenue</t>
        </is>
      </c>
      <c r="B40" s="18" t="n"/>
      <c r="C40" s="18" t="n"/>
      <c r="D40" s="18" t="n"/>
      <c r="E40" s="18" t="n"/>
      <c r="F40" s="18" t="n"/>
      <c r="I40" t="inlineStr">
        <is>
          <t>I</t>
        </is>
      </c>
    </row>
    <row r="41">
      <c r="A41" s="17" t="inlineStr">
        <is>
          <t>Retail — Returns</t>
        </is>
      </c>
      <c r="B41" s="18" t="n"/>
      <c r="C41" s="18" t="n"/>
      <c r="D41" s="18" t="n"/>
      <c r="E41" s="18" t="n"/>
      <c r="F41" s="18" t="n"/>
      <c r="I41" t="inlineStr">
        <is>
          <t>I</t>
        </is>
      </c>
    </row>
    <row r="42">
      <c r="A42" s="19" t="inlineStr">
        <is>
          <t>Retail — Net Revenue</t>
        </is>
      </c>
      <c r="B42" s="20">
        <f>B40-B41</f>
        <v/>
      </c>
      <c r="C42" s="20">
        <f>C40-C41</f>
        <v/>
      </c>
      <c r="D42" s="20">
        <f>D40-D41</f>
        <v/>
      </c>
      <c r="E42" s="20">
        <f>E40-E41</f>
        <v/>
      </c>
      <c r="F42" s="20">
        <f>F40-F41</f>
        <v/>
      </c>
      <c r="I42" t="inlineStr">
        <is>
          <t>T</t>
        </is>
      </c>
    </row>
    <row r="43">
      <c r="A43" s="17" t="inlineStr">
        <is>
          <t>Marketplace — Gross Revenue</t>
        </is>
      </c>
      <c r="B43" s="18" t="n"/>
      <c r="C43" s="18" t="n"/>
      <c r="D43" s="18" t="n"/>
      <c r="E43" s="18" t="n"/>
      <c r="F43" s="18" t="n"/>
      <c r="I43" t="inlineStr">
        <is>
          <t>I</t>
        </is>
      </c>
    </row>
    <row r="44">
      <c r="A44" s="17" t="inlineStr">
        <is>
          <t>Marketplace — Returns</t>
        </is>
      </c>
      <c r="B44" s="18" t="n"/>
      <c r="C44" s="18" t="n"/>
      <c r="D44" s="18" t="n"/>
      <c r="E44" s="18" t="n"/>
      <c r="F44" s="18" t="n"/>
      <c r="I44" t="inlineStr">
        <is>
          <t>I</t>
        </is>
      </c>
    </row>
    <row r="45">
      <c r="A45" s="17" t="inlineStr">
        <is>
          <t>Marketplace — Commission</t>
        </is>
      </c>
      <c r="B45" s="18" t="n"/>
      <c r="C45" s="18" t="n"/>
      <c r="D45" s="18" t="n"/>
      <c r="E45" s="18" t="n"/>
      <c r="F45" s="18" t="n"/>
      <c r="I45" t="inlineStr">
        <is>
          <t>I</t>
        </is>
      </c>
    </row>
    <row r="46">
      <c r="A46" s="19" t="inlineStr">
        <is>
          <t>Marketplace — Net Revenue</t>
        </is>
      </c>
      <c r="B46" s="20">
        <f>B43-B44-B45</f>
        <v/>
      </c>
      <c r="C46" s="20">
        <f>C43-C44-C45</f>
        <v/>
      </c>
      <c r="D46" s="20">
        <f>D43-D44-D45</f>
        <v/>
      </c>
      <c r="E46" s="20">
        <f>E43-E44-E45</f>
        <v/>
      </c>
      <c r="F46" s="20">
        <f>F43-F44-F45</f>
        <v/>
      </c>
      <c r="I46" t="inlineStr">
        <is>
          <t>T</t>
        </is>
      </c>
    </row>
    <row r="48">
      <c r="A48" s="15" t="inlineStr">
        <is>
          <t>4. Customer Funnel</t>
        </is>
      </c>
      <c r="B48" s="43" t="n"/>
      <c r="C48" s="43" t="n"/>
      <c r="D48" s="43" t="n"/>
      <c r="E48" s="43" t="n"/>
      <c r="H48" t="inlineStr">
        <is>
          <t>d2c_customer_funnel</t>
        </is>
      </c>
      <c r="I48" t="inlineStr">
        <is>
          <t>S</t>
        </is>
      </c>
    </row>
    <row r="49">
      <c r="A49" s="17" t="inlineStr">
        <is>
          <t>Website Visitors</t>
        </is>
      </c>
      <c r="B49" s="23" t="n"/>
      <c r="C49" s="23" t="n"/>
      <c r="D49" s="23" t="n"/>
      <c r="E49" s="23" t="n"/>
      <c r="F49" s="23" t="n"/>
      <c r="I49" t="inlineStr">
        <is>
          <t>I</t>
        </is>
      </c>
    </row>
    <row r="50">
      <c r="A50" s="17" t="inlineStr">
        <is>
          <t>Leads Generated</t>
        </is>
      </c>
      <c r="B50" s="23" t="n"/>
      <c r="C50" s="23" t="n"/>
      <c r="D50" s="23" t="n"/>
      <c r="E50" s="23" t="n"/>
      <c r="F50" s="23" t="n"/>
      <c r="I50" t="inlineStr">
        <is>
          <t>I</t>
        </is>
      </c>
    </row>
    <row r="51">
      <c r="A51" s="17" t="inlineStr">
        <is>
          <t>Customers Converted</t>
        </is>
      </c>
      <c r="B51" s="23" t="n"/>
      <c r="C51" s="23" t="n"/>
      <c r="D51" s="23" t="n"/>
      <c r="E51" s="23" t="n"/>
      <c r="F51" s="23" t="n"/>
      <c r="I51" t="inlineStr">
        <is>
          <t>I</t>
        </is>
      </c>
    </row>
    <row r="52">
      <c r="A52" s="17" t="inlineStr">
        <is>
          <t>Repeat Customers</t>
        </is>
      </c>
      <c r="B52" s="23" t="n"/>
      <c r="C52" s="23" t="n"/>
      <c r="D52" s="23" t="n"/>
      <c r="E52" s="23" t="n"/>
      <c r="F52" s="23" t="n"/>
      <c r="I52" t="inlineStr">
        <is>
          <t>I</t>
        </is>
      </c>
    </row>
    <row r="53">
      <c r="A53" s="25" t="inlineStr">
        <is>
          <t>Visitor → Lead %</t>
        </is>
      </c>
      <c r="B53" s="26">
        <f>IF(B49&lt;&gt;0,B50/B49,0)</f>
        <v/>
      </c>
      <c r="C53" s="26">
        <f>IF(C49&lt;&gt;0,C50/C49,0)</f>
        <v/>
      </c>
      <c r="D53" s="26">
        <f>IF(D49&lt;&gt;0,D50/D49,0)</f>
        <v/>
      </c>
      <c r="E53" s="26">
        <f>IF(E49&lt;&gt;0,E50/E49,0)</f>
        <v/>
      </c>
      <c r="F53" s="26">
        <f>IF(F49&lt;&gt;0,F50/F49,0)</f>
        <v/>
      </c>
      <c r="I53" t="inlineStr">
        <is>
          <t>P</t>
        </is>
      </c>
    </row>
    <row r="54">
      <c r="A54" s="25" t="inlineStr">
        <is>
          <t>Lead → Customer %</t>
        </is>
      </c>
      <c r="B54" s="26">
        <f>IF(B50&lt;&gt;0,B51/B50,0)</f>
        <v/>
      </c>
      <c r="C54" s="26">
        <f>IF(C50&lt;&gt;0,C51/C50,0)</f>
        <v/>
      </c>
      <c r="D54" s="26">
        <f>IF(D50&lt;&gt;0,D51/D50,0)</f>
        <v/>
      </c>
      <c r="E54" s="26">
        <f>IF(E50&lt;&gt;0,E51/E50,0)</f>
        <v/>
      </c>
      <c r="F54" s="26">
        <f>IF(F50&lt;&gt;0,F51/F50,0)</f>
        <v/>
      </c>
      <c r="I54" t="inlineStr">
        <is>
          <t>P</t>
        </is>
      </c>
    </row>
    <row r="56">
      <c r="A56" s="15" t="inlineStr">
        <is>
          <t>5. Cohort Retention &amp; Churn</t>
        </is>
      </c>
      <c r="B56" s="43" t="n"/>
      <c r="C56" s="43" t="n"/>
      <c r="D56" s="43" t="n"/>
      <c r="E56" s="43" t="n"/>
      <c r="H56" t="inlineStr">
        <is>
          <t>d2c_cohort_retention</t>
        </is>
      </c>
      <c r="I56" t="inlineStr">
        <is>
          <t>S</t>
        </is>
      </c>
    </row>
    <row r="57">
      <c r="A57" s="17" t="inlineStr">
        <is>
          <t>Website — Churn Rate</t>
        </is>
      </c>
      <c r="B57" s="27" t="n"/>
      <c r="C57" s="27" t="n"/>
      <c r="D57" s="27" t="n"/>
      <c r="E57" s="27" t="n"/>
      <c r="F57" s="27" t="n"/>
      <c r="I57" t="inlineStr">
        <is>
          <t>I</t>
        </is>
      </c>
    </row>
    <row r="58">
      <c r="A58" s="17" t="inlineStr">
        <is>
          <t>Retail — Churn Rate</t>
        </is>
      </c>
      <c r="B58" s="27" t="n"/>
      <c r="C58" s="27" t="n"/>
      <c r="D58" s="27" t="n"/>
      <c r="E58" s="27" t="n"/>
      <c r="F58" s="27" t="n"/>
      <c r="I58" t="inlineStr">
        <is>
          <t>I</t>
        </is>
      </c>
    </row>
    <row r="59">
      <c r="A59" s="17" t="inlineStr">
        <is>
          <t>Marketplace — Churn Rate</t>
        </is>
      </c>
      <c r="B59" s="27" t="n"/>
      <c r="C59" s="27" t="n"/>
      <c r="D59" s="27" t="n"/>
      <c r="E59" s="27" t="n"/>
      <c r="F59" s="27" t="n"/>
      <c r="I59" t="inlineStr">
        <is>
          <t>I</t>
        </is>
      </c>
    </row>
    <row r="60">
      <c r="A60" s="17" t="inlineStr">
        <is>
          <t>Blended Churn Rate</t>
        </is>
      </c>
      <c r="B60" s="27" t="n"/>
      <c r="C60" s="27" t="n"/>
      <c r="D60" s="27" t="n"/>
      <c r="E60" s="27" t="n"/>
      <c r="F60" s="27" t="n"/>
      <c r="I60" t="inlineStr">
        <is>
          <t>I</t>
        </is>
      </c>
    </row>
    <row r="61">
      <c r="A61" s="17" t="inlineStr">
        <is>
          <t>Repeat Purchase Rate</t>
        </is>
      </c>
      <c r="B61" s="27" t="n"/>
      <c r="C61" s="27" t="n"/>
      <c r="D61" s="27" t="n"/>
      <c r="E61" s="27" t="n"/>
      <c r="F61" s="27" t="n"/>
      <c r="I61" t="inlineStr">
        <is>
          <t>I</t>
        </is>
      </c>
    </row>
    <row r="63">
      <c r="A63" s="15" t="inlineStr">
        <is>
          <t>6. Unit Economics</t>
        </is>
      </c>
      <c r="B63" s="43" t="n"/>
      <c r="C63" s="43" t="n"/>
      <c r="D63" s="43" t="n"/>
      <c r="E63" s="43" t="n"/>
      <c r="H63" t="inlineStr">
        <is>
          <t>d2c_unit_economics</t>
        </is>
      </c>
      <c r="I63" t="inlineStr">
        <is>
          <t>S</t>
        </is>
      </c>
    </row>
    <row r="64">
      <c r="A64" s="17" t="inlineStr">
        <is>
          <t>CAC (Customer Acquisition Cost)</t>
        </is>
      </c>
      <c r="B64" s="18" t="n"/>
      <c r="C64" s="18" t="n"/>
      <c r="D64" s="18" t="n"/>
      <c r="E64" s="18" t="n"/>
      <c r="F64" s="18" t="n"/>
      <c r="I64" t="inlineStr">
        <is>
          <t>I</t>
        </is>
      </c>
    </row>
    <row r="65">
      <c r="A65" s="17" t="inlineStr">
        <is>
          <t>LTV (Lifetime Value)</t>
        </is>
      </c>
      <c r="B65" s="18" t="n"/>
      <c r="C65" s="18" t="n"/>
      <c r="D65" s="18" t="n"/>
      <c r="E65" s="18" t="n"/>
      <c r="F65" s="18" t="n"/>
      <c r="I65" t="inlineStr">
        <is>
          <t>I</t>
        </is>
      </c>
    </row>
    <row r="66">
      <c r="A66" s="19" t="inlineStr">
        <is>
          <t>LTV / CAC</t>
        </is>
      </c>
      <c r="B66" s="33">
        <f>IF(B64&lt;&gt;0,B65/B64,0)</f>
        <v/>
      </c>
      <c r="C66" s="33">
        <f>IF(C64&lt;&gt;0,C65/C64,0)</f>
        <v/>
      </c>
      <c r="D66" s="33">
        <f>IF(D64&lt;&gt;0,D65/D64,0)</f>
        <v/>
      </c>
      <c r="E66" s="33">
        <f>IF(E64&lt;&gt;0,E65/E64,0)</f>
        <v/>
      </c>
      <c r="F66" s="33">
        <f>IF(F64&lt;&gt;0,F65/F64,0)</f>
        <v/>
      </c>
      <c r="I66" t="inlineStr">
        <is>
          <t>T</t>
        </is>
      </c>
    </row>
    <row r="67">
      <c r="A67" s="17" t="inlineStr">
        <is>
          <t>Payback Period (months)</t>
        </is>
      </c>
      <c r="B67" s="41" t="n"/>
      <c r="C67" s="41" t="n"/>
      <c r="D67" s="41" t="n"/>
      <c r="E67" s="41" t="n"/>
      <c r="F67" s="41" t="n"/>
      <c r="I67" t="inlineStr">
        <is>
          <t>I</t>
        </is>
      </c>
    </row>
    <row r="68">
      <c r="A68" s="17" t="inlineStr">
        <is>
          <t>Contribution Margin per Order</t>
        </is>
      </c>
      <c r="B68" s="18" t="n"/>
      <c r="C68" s="18" t="n"/>
      <c r="D68" s="18" t="n"/>
      <c r="E68" s="18" t="n"/>
      <c r="F68" s="18" t="n"/>
      <c r="I68" t="inlineStr">
        <is>
          <t>I</t>
        </is>
      </c>
    </row>
    <row r="70">
      <c r="A70" s="15" t="inlineStr">
        <is>
          <t>7. P&amp;L Summary</t>
        </is>
      </c>
      <c r="B70" s="43" t="n"/>
      <c r="C70" s="43" t="n"/>
      <c r="D70" s="43" t="n"/>
      <c r="E70" s="43" t="n"/>
      <c r="H70" t="inlineStr">
        <is>
          <t>d2c_pnl</t>
        </is>
      </c>
      <c r="I70" t="inlineStr">
        <is>
          <t>S</t>
        </is>
      </c>
    </row>
    <row r="71">
      <c r="A71" s="17" t="inlineStr">
        <is>
          <t>Net Revenue</t>
        </is>
      </c>
      <c r="B71" s="18" t="n"/>
      <c r="C71" s="18" t="n"/>
      <c r="D71" s="18" t="n"/>
      <c r="E71" s="18" t="n"/>
      <c r="F71" s="18" t="n"/>
      <c r="I71" t="inlineStr">
        <is>
          <t>I</t>
        </is>
      </c>
    </row>
    <row r="72">
      <c r="A72" s="17" t="inlineStr">
        <is>
          <t>COGS</t>
        </is>
      </c>
      <c r="B72" s="18" t="n"/>
      <c r="C72" s="18" t="n"/>
      <c r="D72" s="18" t="n"/>
      <c r="E72" s="18" t="n"/>
      <c r="F72" s="18" t="n"/>
      <c r="I72" t="inlineStr">
        <is>
          <t>I</t>
        </is>
      </c>
    </row>
    <row r="73">
      <c r="A73" s="19" t="inlineStr">
        <is>
          <t>Gross Profit</t>
        </is>
      </c>
      <c r="B73" s="20">
        <f>B71-B72</f>
        <v/>
      </c>
      <c r="C73" s="20">
        <f>C71-C72</f>
        <v/>
      </c>
      <c r="D73" s="20">
        <f>D71-D72</f>
        <v/>
      </c>
      <c r="E73" s="20">
        <f>E71-E72</f>
        <v/>
      </c>
      <c r="F73" s="20">
        <f>F71-F72</f>
        <v/>
      </c>
      <c r="I73" t="inlineStr">
        <is>
          <t>T</t>
        </is>
      </c>
    </row>
    <row r="74">
      <c r="A74" s="25" t="inlineStr">
        <is>
          <t>Gross Margin %</t>
        </is>
      </c>
      <c r="B74" s="26">
        <f>IF(B71&lt;&gt;0,B73/B71,0)</f>
        <v/>
      </c>
      <c r="C74" s="26">
        <f>IF(C71&lt;&gt;0,C73/C71,0)</f>
        <v/>
      </c>
      <c r="D74" s="26">
        <f>IF(D71&lt;&gt;0,D73/D71,0)</f>
        <v/>
      </c>
      <c r="E74" s="26">
        <f>IF(E71&lt;&gt;0,E73/E71,0)</f>
        <v/>
      </c>
      <c r="F74" s="26">
        <f>IF(F71&lt;&gt;0,F73/F71,0)</f>
        <v/>
      </c>
      <c r="I74" t="inlineStr">
        <is>
          <t>P</t>
        </is>
      </c>
    </row>
    <row r="75">
      <c r="A75" s="17" t="inlineStr">
        <is>
          <t>Marketing &amp; Advertising</t>
        </is>
      </c>
      <c r="B75" s="18" t="n"/>
      <c r="C75" s="18" t="n"/>
      <c r="D75" s="18" t="n"/>
      <c r="E75" s="18" t="n"/>
      <c r="F75" s="18" t="n"/>
      <c r="I75" t="inlineStr">
        <is>
          <t>I</t>
        </is>
      </c>
    </row>
    <row r="76">
      <c r="A76" s="17" t="inlineStr">
        <is>
          <t>Employee Costs</t>
        </is>
      </c>
      <c r="B76" s="18" t="n"/>
      <c r="C76" s="18" t="n"/>
      <c r="D76" s="18" t="n"/>
      <c r="E76" s="18" t="n"/>
      <c r="F76" s="18" t="n"/>
      <c r="I76" t="inlineStr">
        <is>
          <t>I</t>
        </is>
      </c>
    </row>
    <row r="77">
      <c r="A77" s="17" t="inlineStr">
        <is>
          <t>Technology &amp; Platform</t>
        </is>
      </c>
      <c r="B77" s="18" t="n"/>
      <c r="C77" s="18" t="n"/>
      <c r="D77" s="18" t="n"/>
      <c r="E77" s="18" t="n"/>
      <c r="F77" s="18" t="n"/>
      <c r="I77" t="inlineStr">
        <is>
          <t>I</t>
        </is>
      </c>
    </row>
    <row r="78">
      <c r="A78" s="17" t="inlineStr">
        <is>
          <t>Rent &amp; Utilities</t>
        </is>
      </c>
      <c r="B78" s="18" t="n"/>
      <c r="C78" s="18" t="n"/>
      <c r="D78" s="18" t="n"/>
      <c r="E78" s="18" t="n"/>
      <c r="F78" s="18" t="n"/>
      <c r="I78" t="inlineStr">
        <is>
          <t>I</t>
        </is>
      </c>
    </row>
    <row r="79">
      <c r="A79" s="17" t="inlineStr">
        <is>
          <t>Logistics &amp; Fulfillment</t>
        </is>
      </c>
      <c r="B79" s="18" t="n"/>
      <c r="C79" s="18" t="n"/>
      <c r="D79" s="18" t="n"/>
      <c r="E79" s="18" t="n"/>
      <c r="F79" s="18" t="n"/>
      <c r="I79" t="inlineStr">
        <is>
          <t>I</t>
        </is>
      </c>
    </row>
    <row r="80">
      <c r="A80" s="17" t="inlineStr">
        <is>
          <t>Other G&amp;A</t>
        </is>
      </c>
      <c r="B80" s="18" t="n"/>
      <c r="C80" s="18" t="n"/>
      <c r="D80" s="18" t="n"/>
      <c r="E80" s="18" t="n"/>
      <c r="F80" s="18" t="n"/>
      <c r="I80" t="inlineStr">
        <is>
          <t>I</t>
        </is>
      </c>
    </row>
    <row r="81">
      <c r="A81" s="19" t="inlineStr">
        <is>
          <t>Total OPEX</t>
        </is>
      </c>
      <c r="B81" s="20">
        <f>B75+B76+B77+B78+B79+B80</f>
        <v/>
      </c>
      <c r="C81" s="20">
        <f>C75+C76+C77+C78+C79+C80</f>
        <v/>
      </c>
      <c r="D81" s="20">
        <f>D75+D76+D77+D78+D79+D80</f>
        <v/>
      </c>
      <c r="E81" s="20">
        <f>E75+E76+E77+E78+E79+E80</f>
        <v/>
      </c>
      <c r="F81" s="20">
        <f>F75+F76+F77+F78+F79+F80</f>
        <v/>
      </c>
      <c r="I81" t="inlineStr">
        <is>
          <t>T</t>
        </is>
      </c>
    </row>
    <row r="82">
      <c r="A82" s="19" t="inlineStr">
        <is>
          <t>EBITDA</t>
        </is>
      </c>
      <c r="B82" s="20">
        <f>B73-B81</f>
        <v/>
      </c>
      <c r="C82" s="20">
        <f>C73-C81</f>
        <v/>
      </c>
      <c r="D82" s="20">
        <f>D73-D81</f>
        <v/>
      </c>
      <c r="E82" s="20">
        <f>E73-E81</f>
        <v/>
      </c>
      <c r="F82" s="20">
        <f>F73-F81</f>
        <v/>
      </c>
      <c r="I82" t="inlineStr">
        <is>
          <t>T</t>
        </is>
      </c>
    </row>
    <row r="83">
      <c r="A83" s="25" t="inlineStr">
        <is>
          <t>EBITDA Margin %</t>
        </is>
      </c>
      <c r="B83" s="26">
        <f>IF(B71&lt;&gt;0,B82/B71,0)</f>
        <v/>
      </c>
      <c r="C83" s="26">
        <f>IF(C71&lt;&gt;0,C82/C71,0)</f>
        <v/>
      </c>
      <c r="D83" s="26">
        <f>IF(D71&lt;&gt;0,D82/D71,0)</f>
        <v/>
      </c>
      <c r="E83" s="26">
        <f>IF(E71&lt;&gt;0,E82/E71,0)</f>
        <v/>
      </c>
      <c r="F83" s="26">
        <f>IF(F71&lt;&gt;0,F82/F71,0)</f>
        <v/>
      </c>
      <c r="I83" t="inlineStr">
        <is>
          <t>P</t>
        </is>
      </c>
    </row>
    <row r="84">
      <c r="A84" s="17" t="inlineStr">
        <is>
          <t>Depreciation &amp; Amortization</t>
        </is>
      </c>
      <c r="B84" s="18" t="n"/>
      <c r="C84" s="18" t="n"/>
      <c r="D84" s="18" t="n"/>
      <c r="E84" s="18" t="n"/>
      <c r="F84" s="18" t="n"/>
      <c r="I84" t="inlineStr">
        <is>
          <t>I</t>
        </is>
      </c>
    </row>
    <row r="85">
      <c r="A85" s="17" t="inlineStr">
        <is>
          <t>Interest Expense</t>
        </is>
      </c>
      <c r="B85" s="18" t="n"/>
      <c r="C85" s="18" t="n"/>
      <c r="D85" s="18" t="n"/>
      <c r="E85" s="18" t="n"/>
      <c r="F85" s="18" t="n"/>
      <c r="I85" t="inlineStr">
        <is>
          <t>I</t>
        </is>
      </c>
    </row>
    <row r="86">
      <c r="A86" s="17" t="inlineStr">
        <is>
          <t>Tax</t>
        </is>
      </c>
      <c r="B86" s="18" t="n"/>
      <c r="C86" s="18" t="n"/>
      <c r="D86" s="18" t="n"/>
      <c r="E86" s="18" t="n"/>
      <c r="F86" s="18" t="n"/>
      <c r="I86" t="inlineStr">
        <is>
          <t>I</t>
        </is>
      </c>
    </row>
    <row r="87">
      <c r="A87" s="21" t="inlineStr">
        <is>
          <t>PAT (Profit After Tax)</t>
        </is>
      </c>
      <c r="B87" s="35">
        <f>B82-B84-B85-B86</f>
        <v/>
      </c>
      <c r="C87" s="35">
        <f>C82-C84-C85-C86</f>
        <v/>
      </c>
      <c r="D87" s="35">
        <f>D82-D84-D85-D86</f>
        <v/>
      </c>
      <c r="E87" s="35">
        <f>E82-E84-E85-E86</f>
        <v/>
      </c>
      <c r="F87" s="35">
        <f>F82-F84-F85-F86</f>
        <v/>
      </c>
      <c r="I87" t="inlineStr">
        <is>
          <t>T</t>
        </is>
      </c>
    </row>
    <row r="89">
      <c r="A89" s="15" t="inlineStr">
        <is>
          <t>8. Balance Sheet</t>
        </is>
      </c>
      <c r="B89" s="43" t="n"/>
      <c r="C89" s="43" t="n"/>
      <c r="D89" s="43" t="n"/>
      <c r="E89" s="43" t="n"/>
      <c r="H89" t="inlineStr">
        <is>
          <t>d2c_balance_sheet</t>
        </is>
      </c>
      <c r="I89" t="inlineStr">
        <is>
          <t>S</t>
        </is>
      </c>
    </row>
    <row r="90">
      <c r="A90" s="39" t="inlineStr">
        <is>
          <t>Assets</t>
        </is>
      </c>
      <c r="I90" t="inlineStr">
        <is>
          <t>H</t>
        </is>
      </c>
    </row>
    <row r="91">
      <c r="A91" s="17" t="inlineStr">
        <is>
          <t>Cash &amp; Equivalents</t>
        </is>
      </c>
      <c r="B91" s="18" t="n"/>
      <c r="C91" s="18" t="n"/>
      <c r="D91" s="18" t="n"/>
      <c r="E91" s="18" t="n"/>
      <c r="F91" s="18" t="n"/>
      <c r="I91" t="inlineStr">
        <is>
          <t>I</t>
        </is>
      </c>
    </row>
    <row r="92">
      <c r="A92" s="17" t="inlineStr">
        <is>
          <t>Inventory</t>
        </is>
      </c>
      <c r="B92" s="18" t="n"/>
      <c r="C92" s="18" t="n"/>
      <c r="D92" s="18" t="n"/>
      <c r="E92" s="18" t="n"/>
      <c r="F92" s="18" t="n"/>
      <c r="I92" t="inlineStr">
        <is>
          <t>I</t>
        </is>
      </c>
    </row>
    <row r="93">
      <c r="A93" s="17" t="inlineStr">
        <is>
          <t>Accounts Receivable</t>
        </is>
      </c>
      <c r="B93" s="18" t="n"/>
      <c r="C93" s="18" t="n"/>
      <c r="D93" s="18" t="n"/>
      <c r="E93" s="18" t="n"/>
      <c r="F93" s="18" t="n"/>
      <c r="I93" t="inlineStr">
        <is>
          <t>I</t>
        </is>
      </c>
    </row>
    <row r="94">
      <c r="A94" s="17" t="inlineStr">
        <is>
          <t>Fixed Assets (Net)</t>
        </is>
      </c>
      <c r="B94" s="18" t="n"/>
      <c r="C94" s="18" t="n"/>
      <c r="D94" s="18" t="n"/>
      <c r="E94" s="18" t="n"/>
      <c r="F94" s="18" t="n"/>
      <c r="I94" t="inlineStr">
        <is>
          <t>I</t>
        </is>
      </c>
    </row>
    <row r="95">
      <c r="A95" s="19" t="inlineStr">
        <is>
          <t>Total Assets</t>
        </is>
      </c>
      <c r="B95" s="20">
        <f>B91+B92+B93+B94</f>
        <v/>
      </c>
      <c r="C95" s="20">
        <f>C91+C92+C93+C94</f>
        <v/>
      </c>
      <c r="D95" s="20">
        <f>D91+D92+D93+D94</f>
        <v/>
      </c>
      <c r="E95" s="20">
        <f>E91+E92+E93+E94</f>
        <v/>
      </c>
      <c r="F95" s="20">
        <f>F91+F92+F93+F94</f>
        <v/>
      </c>
      <c r="I95" t="inlineStr">
        <is>
          <t>T</t>
        </is>
      </c>
    </row>
    <row r="96">
      <c r="A96" s="39" t="inlineStr">
        <is>
          <t>Liabilities</t>
        </is>
      </c>
      <c r="I96" t="inlineStr">
        <is>
          <t>H</t>
        </is>
      </c>
    </row>
    <row r="97">
      <c r="A97" s="17" t="inlineStr">
        <is>
          <t>Accounts Payable</t>
        </is>
      </c>
      <c r="B97" s="18" t="n"/>
      <c r="C97" s="18" t="n"/>
      <c r="D97" s="18" t="n"/>
      <c r="E97" s="18" t="n"/>
      <c r="F97" s="18" t="n"/>
      <c r="I97" t="inlineStr">
        <is>
          <t>I</t>
        </is>
      </c>
    </row>
    <row r="98">
      <c r="A98" s="17" t="inlineStr">
        <is>
          <t>Short-term Debt</t>
        </is>
      </c>
      <c r="B98" s="18" t="n"/>
      <c r="C98" s="18" t="n"/>
      <c r="D98" s="18" t="n"/>
      <c r="E98" s="18" t="n"/>
      <c r="F98" s="18" t="n"/>
      <c r="I98" t="inlineStr">
        <is>
          <t>I</t>
        </is>
      </c>
    </row>
    <row r="99">
      <c r="A99" s="17" t="inlineStr">
        <is>
          <t>Long-term Debt</t>
        </is>
      </c>
      <c r="B99" s="18" t="n"/>
      <c r="C99" s="18" t="n"/>
      <c r="D99" s="18" t="n"/>
      <c r="E99" s="18" t="n"/>
      <c r="F99" s="18" t="n"/>
      <c r="I99" t="inlineStr">
        <is>
          <t>I</t>
        </is>
      </c>
    </row>
    <row r="100">
      <c r="A100" s="19" t="inlineStr">
        <is>
          <t>Total Liabilities</t>
        </is>
      </c>
      <c r="B100" s="20">
        <f>B97+B98+B99</f>
        <v/>
      </c>
      <c r="C100" s="20">
        <f>C97+C98+C99</f>
        <v/>
      </c>
      <c r="D100" s="20">
        <f>D97+D98+D99</f>
        <v/>
      </c>
      <c r="E100" s="20">
        <f>E97+E98+E99</f>
        <v/>
      </c>
      <c r="F100" s="20">
        <f>F97+F98+F99</f>
        <v/>
      </c>
      <c r="I100" t="inlineStr">
        <is>
          <t>T</t>
        </is>
      </c>
    </row>
    <row r="101">
      <c r="A101" s="39" t="inlineStr">
        <is>
          <t>Equity</t>
        </is>
      </c>
      <c r="I101" t="inlineStr">
        <is>
          <t>H</t>
        </is>
      </c>
    </row>
    <row r="102">
      <c r="A102" s="17" t="inlineStr">
        <is>
          <t>Share Capital</t>
        </is>
      </c>
      <c r="B102" s="18" t="n"/>
      <c r="C102" s="18" t="n"/>
      <c r="D102" s="18" t="n"/>
      <c r="E102" s="18" t="n"/>
      <c r="F102" s="18" t="n"/>
      <c r="I102" t="inlineStr">
        <is>
          <t>I</t>
        </is>
      </c>
    </row>
    <row r="103">
      <c r="A103" s="17" t="inlineStr">
        <is>
          <t>Retained Earnings</t>
        </is>
      </c>
      <c r="B103" s="18" t="n"/>
      <c r="C103" s="18" t="n"/>
      <c r="D103" s="18" t="n"/>
      <c r="E103" s="18" t="n"/>
      <c r="F103" s="18" t="n"/>
      <c r="I103" t="inlineStr">
        <is>
          <t>I</t>
        </is>
      </c>
    </row>
    <row r="104">
      <c r="A104" s="19" t="inlineStr">
        <is>
          <t>Total Equity</t>
        </is>
      </c>
      <c r="B104" s="20">
        <f>B102+B103</f>
        <v/>
      </c>
      <c r="C104" s="20">
        <f>C102+C103</f>
        <v/>
      </c>
      <c r="D104" s="20">
        <f>D102+D103</f>
        <v/>
      </c>
      <c r="E104" s="20">
        <f>E102+E103</f>
        <v/>
      </c>
      <c r="F104" s="20">
        <f>F102+F103</f>
        <v/>
      </c>
      <c r="I104" t="inlineStr">
        <is>
          <t>T</t>
        </is>
      </c>
    </row>
    <row r="105">
      <c r="A105" s="21" t="inlineStr">
        <is>
          <t>Balance Check (should be 0)</t>
        </is>
      </c>
      <c r="B105" s="35">
        <f>B95-B100-B104</f>
        <v/>
      </c>
      <c r="C105" s="35">
        <f>C95-C100-C104</f>
        <v/>
      </c>
      <c r="D105" s="35">
        <f>D95-D100-D104</f>
        <v/>
      </c>
      <c r="E105" s="35">
        <f>E95-E100-E104</f>
        <v/>
      </c>
      <c r="F105" s="35">
        <f>F95-F100-F104</f>
        <v/>
      </c>
      <c r="I105" t="inlineStr">
        <is>
          <t>T</t>
        </is>
      </c>
    </row>
    <row r="107">
      <c r="A107" s="15" t="inlineStr">
        <is>
          <t>9. Cash Flow</t>
        </is>
      </c>
      <c r="B107" s="43" t="n"/>
      <c r="C107" s="43" t="n"/>
      <c r="D107" s="43" t="n"/>
      <c r="E107" s="43" t="n"/>
      <c r="H107" t="inlineStr">
        <is>
          <t>d2c_cash_flow</t>
        </is>
      </c>
      <c r="I107" t="inlineStr">
        <is>
          <t>S</t>
        </is>
      </c>
    </row>
    <row r="108">
      <c r="A108" s="17" t="inlineStr">
        <is>
          <t>EBITDA</t>
        </is>
      </c>
      <c r="B108" s="18" t="n"/>
      <c r="C108" s="18" t="n"/>
      <c r="D108" s="18" t="n"/>
      <c r="E108" s="18" t="n"/>
      <c r="F108" s="18" t="n"/>
      <c r="I108" t="inlineStr">
        <is>
          <t>I</t>
        </is>
      </c>
    </row>
    <row r="109">
      <c r="A109" s="17" t="inlineStr">
        <is>
          <t>Working Capital Changes</t>
        </is>
      </c>
      <c r="B109" s="18" t="n"/>
      <c r="C109" s="18" t="n"/>
      <c r="D109" s="18" t="n"/>
      <c r="E109" s="18" t="n"/>
      <c r="F109" s="18" t="n"/>
      <c r="I109" t="inlineStr">
        <is>
          <t>I</t>
        </is>
      </c>
    </row>
    <row r="110">
      <c r="A110" s="17" t="inlineStr">
        <is>
          <t>Tax Paid</t>
        </is>
      </c>
      <c r="B110" s="18" t="n"/>
      <c r="C110" s="18" t="n"/>
      <c r="D110" s="18" t="n"/>
      <c r="E110" s="18" t="n"/>
      <c r="F110" s="18" t="n"/>
      <c r="I110" t="inlineStr">
        <is>
          <t>I</t>
        </is>
      </c>
    </row>
    <row r="111">
      <c r="A111" s="19" t="inlineStr">
        <is>
          <t>CF from Operations</t>
        </is>
      </c>
      <c r="B111" s="20">
        <f>B108+B109-B110</f>
        <v/>
      </c>
      <c r="C111" s="20">
        <f>C108+C109-C110</f>
        <v/>
      </c>
      <c r="D111" s="20">
        <f>D108+D109-D110</f>
        <v/>
      </c>
      <c r="E111" s="20">
        <f>E108+E109-E110</f>
        <v/>
      </c>
      <c r="F111" s="20">
        <f>F108+F109-F110</f>
        <v/>
      </c>
      <c r="I111" t="inlineStr">
        <is>
          <t>T</t>
        </is>
      </c>
    </row>
    <row r="112">
      <c r="A112" s="17" t="inlineStr">
        <is>
          <t>Capex</t>
        </is>
      </c>
      <c r="B112" s="18" t="n"/>
      <c r="C112" s="18" t="n"/>
      <c r="D112" s="18" t="n"/>
      <c r="E112" s="18" t="n"/>
      <c r="F112" s="18" t="n"/>
      <c r="I112" t="inlineStr">
        <is>
          <t>I</t>
        </is>
      </c>
    </row>
    <row r="113">
      <c r="A113" s="19" t="inlineStr">
        <is>
          <t>CF from Investing</t>
        </is>
      </c>
      <c r="B113" s="20">
        <f>-B112</f>
        <v/>
      </c>
      <c r="C113" s="20">
        <f>-C112</f>
        <v/>
      </c>
      <c r="D113" s="20">
        <f>-D112</f>
        <v/>
      </c>
      <c r="E113" s="20">
        <f>-E112</f>
        <v/>
      </c>
      <c r="F113" s="20">
        <f>-F112</f>
        <v/>
      </c>
      <c r="I113" t="inlineStr">
        <is>
          <t>T</t>
        </is>
      </c>
    </row>
    <row r="114">
      <c r="A114" s="17" t="inlineStr">
        <is>
          <t>Equity Raised</t>
        </is>
      </c>
      <c r="B114" s="18" t="n"/>
      <c r="C114" s="18" t="n"/>
      <c r="D114" s="18" t="n"/>
      <c r="E114" s="18" t="n"/>
      <c r="F114" s="18" t="n"/>
      <c r="I114" t="inlineStr">
        <is>
          <t>I</t>
        </is>
      </c>
    </row>
    <row r="115">
      <c r="A115" s="17" t="inlineStr">
        <is>
          <t>Debt (Net)</t>
        </is>
      </c>
      <c r="B115" s="18" t="n"/>
      <c r="C115" s="18" t="n"/>
      <c r="D115" s="18" t="n"/>
      <c r="E115" s="18" t="n"/>
      <c r="F115" s="18" t="n"/>
      <c r="I115" t="inlineStr">
        <is>
          <t>I</t>
        </is>
      </c>
    </row>
    <row r="116">
      <c r="A116" s="19" t="inlineStr">
        <is>
          <t>CF from Financing</t>
        </is>
      </c>
      <c r="B116" s="20">
        <f>B114+B115</f>
        <v/>
      </c>
      <c r="C116" s="20">
        <f>C114+C115</f>
        <v/>
      </c>
      <c r="D116" s="20">
        <f>D114+D115</f>
        <v/>
      </c>
      <c r="E116" s="20">
        <f>E114+E115</f>
        <v/>
      </c>
      <c r="F116" s="20">
        <f>F114+F115</f>
        <v/>
      </c>
      <c r="I116" t="inlineStr">
        <is>
          <t>T</t>
        </is>
      </c>
    </row>
    <row r="117">
      <c r="A117" s="17" t="inlineStr">
        <is>
          <t>Opening Cash Balance</t>
        </is>
      </c>
      <c r="B117" s="18" t="n"/>
      <c r="C117" s="18" t="n"/>
      <c r="D117" s="18" t="n"/>
      <c r="E117" s="18" t="n"/>
      <c r="F117" s="18" t="n"/>
      <c r="I117" t="inlineStr">
        <is>
          <t>I</t>
        </is>
      </c>
    </row>
    <row r="118">
      <c r="A118" s="21" t="inlineStr">
        <is>
          <t>Closing Cash Balance</t>
        </is>
      </c>
      <c r="B118" s="35">
        <f>B117+B111+B113+B116</f>
        <v/>
      </c>
      <c r="C118" s="35">
        <f>C117+C111+C113+C116</f>
        <v/>
      </c>
      <c r="D118" s="35">
        <f>D117+D111+D113+D116</f>
        <v/>
      </c>
      <c r="E118" s="35">
        <f>E117+E111+E113+E116</f>
        <v/>
      </c>
      <c r="F118" s="35">
        <f>F117+F111+F113+F116</f>
        <v/>
      </c>
      <c r="I118" t="inlineStr">
        <is>
          <t>T</t>
        </is>
      </c>
    </row>
    <row r="120">
      <c r="A120" s="15" t="inlineStr">
        <is>
          <t>10. Fundraising &amp; Cap Table</t>
        </is>
      </c>
      <c r="B120" s="43" t="n"/>
      <c r="C120" s="43" t="n"/>
      <c r="D120" s="43" t="n"/>
      <c r="E120" s="43" t="n"/>
      <c r="H120" t="inlineStr">
        <is>
          <t>d2c_fundraising</t>
        </is>
      </c>
      <c r="I120" t="inlineStr">
        <is>
          <t>S</t>
        </is>
      </c>
    </row>
    <row r="121">
      <c r="A121" s="37" t="inlineStr">
        <is>
          <t>Round Name</t>
        </is>
      </c>
      <c r="B121" s="38" t="n"/>
      <c r="C121" s="38" t="n"/>
      <c r="D121" s="38" t="n"/>
      <c r="E121" s="38" t="n"/>
      <c r="F121" s="38" t="n"/>
      <c r="I121" t="inlineStr">
        <is>
          <t>I</t>
        </is>
      </c>
    </row>
    <row r="122">
      <c r="A122" s="17" t="inlineStr">
        <is>
          <t>Amount Raised</t>
        </is>
      </c>
      <c r="B122" s="18" t="n"/>
      <c r="C122" s="18" t="n"/>
      <c r="D122" s="18" t="n"/>
      <c r="E122" s="18" t="n"/>
      <c r="F122" s="18" t="n"/>
      <c r="I122" t="inlineStr">
        <is>
          <t>I</t>
        </is>
      </c>
    </row>
    <row r="123">
      <c r="A123" s="17" t="inlineStr">
        <is>
          <t>Pre-Money Valuation</t>
        </is>
      </c>
      <c r="B123" s="18" t="n"/>
      <c r="C123" s="18" t="n"/>
      <c r="D123" s="18" t="n"/>
      <c r="E123" s="18" t="n"/>
      <c r="F123" s="18" t="n"/>
      <c r="I123" t="inlineStr">
        <is>
          <t>I</t>
        </is>
      </c>
    </row>
    <row r="124">
      <c r="A124" s="17" t="inlineStr">
        <is>
          <t>Post-Money Valuation</t>
        </is>
      </c>
      <c r="B124" s="18" t="n"/>
      <c r="C124" s="18" t="n"/>
      <c r="D124" s="18" t="n"/>
      <c r="E124" s="18" t="n"/>
      <c r="F124" s="18" t="n"/>
      <c r="I124" t="inlineStr">
        <is>
          <t>I</t>
        </is>
      </c>
    </row>
    <row r="125">
      <c r="A125" s="17" t="inlineStr">
        <is>
          <t>Dilution %</t>
        </is>
      </c>
      <c r="B125" s="27" t="n"/>
      <c r="C125" s="27" t="n"/>
      <c r="D125" s="27" t="n"/>
      <c r="E125" s="27" t="n"/>
      <c r="F125" s="27" t="n"/>
      <c r="I125" t="inlineStr">
        <is>
          <t>I</t>
        </is>
      </c>
    </row>
    <row r="127">
      <c r="A127" s="39" t="inlineStr">
        <is>
          <t>Cap Table Evolution (%)</t>
        </is>
      </c>
      <c r="I127" t="inlineStr">
        <is>
          <t>H</t>
        </is>
      </c>
    </row>
    <row r="128">
      <c r="A128" s="17" t="inlineStr">
        <is>
          <t>Founders %</t>
        </is>
      </c>
      <c r="B128" s="27" t="n"/>
      <c r="C128" s="27" t="n"/>
      <c r="D128" s="27" t="n"/>
      <c r="E128" s="27" t="n"/>
      <c r="F128" s="27" t="n"/>
      <c r="I128" t="inlineStr">
        <is>
          <t>I</t>
        </is>
      </c>
    </row>
    <row r="129">
      <c r="A129" s="17" t="inlineStr">
        <is>
          <t>ESOP %</t>
        </is>
      </c>
      <c r="B129" s="27" t="n"/>
      <c r="C129" s="27" t="n"/>
      <c r="D129" s="27" t="n"/>
      <c r="E129" s="27" t="n"/>
      <c r="F129" s="27" t="n"/>
      <c r="I129" t="inlineStr">
        <is>
          <t>I</t>
        </is>
      </c>
    </row>
    <row r="130">
      <c r="A130" s="17" t="inlineStr">
        <is>
          <t>Seed Investors %</t>
        </is>
      </c>
      <c r="B130" s="27" t="n"/>
      <c r="C130" s="27" t="n"/>
      <c r="D130" s="27" t="n"/>
      <c r="E130" s="27" t="n"/>
      <c r="F130" s="27" t="n"/>
      <c r="I130" t="inlineStr">
        <is>
          <t>I</t>
        </is>
      </c>
    </row>
    <row r="131">
      <c r="A131" s="17" t="inlineStr">
        <is>
          <t>Series A %</t>
        </is>
      </c>
      <c r="B131" s="27" t="n"/>
      <c r="C131" s="27" t="n"/>
      <c r="D131" s="27" t="n"/>
      <c r="E131" s="27" t="n"/>
      <c r="F131" s="27" t="n"/>
      <c r="I131" t="inlineStr">
        <is>
          <t>I</t>
        </is>
      </c>
    </row>
    <row r="132">
      <c r="A132" s="17" t="inlineStr">
        <is>
          <t>Series B %</t>
        </is>
      </c>
      <c r="B132" s="27" t="n"/>
      <c r="C132" s="27" t="n"/>
      <c r="D132" s="27" t="n"/>
      <c r="E132" s="27" t="n"/>
      <c r="F132" s="27" t="n"/>
      <c r="I132" t="inlineStr">
        <is>
          <t>I</t>
        </is>
      </c>
    </row>
    <row r="133">
      <c r="A133" s="17" t="inlineStr">
        <is>
          <t>Others %</t>
        </is>
      </c>
      <c r="B133" s="27" t="n"/>
      <c r="C133" s="27" t="n"/>
      <c r="D133" s="27" t="n"/>
      <c r="E133" s="27" t="n"/>
      <c r="F133" s="27" t="n"/>
      <c r="I133" t="inlineStr">
        <is>
          <t>I</t>
        </is>
      </c>
    </row>
    <row r="134">
      <c r="A134" s="19" t="inlineStr">
        <is>
          <t>Total %</t>
        </is>
      </c>
      <c r="B134" s="32">
        <f>B128+B129+B130+B131+B132+B133</f>
        <v/>
      </c>
      <c r="C134" s="32">
        <f>C128+C129+C130+C131+C132+C133</f>
        <v/>
      </c>
      <c r="D134" s="32">
        <f>D128+D129+D130+D131+D132+D133</f>
        <v/>
      </c>
      <c r="E134" s="32">
        <f>E128+E129+E130+E131+E132+E133</f>
        <v/>
      </c>
      <c r="F134" s="32">
        <f>F128+F129+F130+F131+F132+F133</f>
        <v/>
      </c>
      <c r="I134" t="inlineStr">
        <is>
          <t>T</t>
        </is>
      </c>
    </row>
  </sheetData>
  <mergeCells count="12">
    <mergeCell ref="A2:F2"/>
    <mergeCell ref="A4:E4"/>
    <mergeCell ref="A48:E48"/>
    <mergeCell ref="A1:F1"/>
    <mergeCell ref="A63:E63"/>
    <mergeCell ref="A107:E107"/>
    <mergeCell ref="A23:E23"/>
    <mergeCell ref="A36:E36"/>
    <mergeCell ref="A89:E89"/>
    <mergeCell ref="A70:E70"/>
    <mergeCell ref="A56:E56"/>
    <mergeCell ref="A120:E12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6B6B6B"/>
    <outlinePr summaryBelow="1" summaryRight="1"/>
    <pageSetUpPr/>
  </sheetPr>
  <dimension ref="A1:I98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3" customWidth="1" min="7" max="7"/>
    <col hidden="1" width="0.5" customWidth="1" min="8" max="8"/>
    <col hidden="1" width="0.5" customWidth="1" min="9" max="9"/>
  </cols>
  <sheetData>
    <row r="1">
      <c r="A1" s="1" t="inlineStr">
        <is>
          <t>RUBAN — Healthcare Projections</t>
        </is>
      </c>
    </row>
    <row r="2">
      <c r="A2" s="3" t="inlineStr">
        <is>
          <t>Fill only sections marked "Yes" on the Checklist sheet. Blue cells = your inputs. Black cells = formulas (auto-calculated).</t>
        </is>
      </c>
    </row>
    <row r="3">
      <c r="A3" s="6" t="inlineStr"/>
      <c r="B3" s="6" t="inlineStr">
        <is>
          <t>Year 1</t>
        </is>
      </c>
      <c r="C3" s="6" t="inlineStr">
        <is>
          <t>Year 2</t>
        </is>
      </c>
      <c r="D3" s="6" t="inlineStr">
        <is>
          <t>Year 3</t>
        </is>
      </c>
      <c r="E3" s="6" t="inlineStr">
        <is>
          <t>Year 4</t>
        </is>
      </c>
      <c r="F3" s="6" t="inlineStr">
        <is>
          <t>Year 5</t>
        </is>
      </c>
    </row>
    <row r="4">
      <c r="A4" s="15" t="inlineStr">
        <is>
          <t>1. Bed Occupancy &amp; Utilization</t>
        </is>
      </c>
      <c r="B4" s="43" t="n"/>
      <c r="C4" s="43" t="n"/>
      <c r="D4" s="43" t="n"/>
      <c r="E4" s="43" t="n"/>
      <c r="H4" t="inlineStr">
        <is>
          <t>hc_bed_occupancy</t>
        </is>
      </c>
      <c r="I4" t="inlineStr">
        <is>
          <t>S</t>
        </is>
      </c>
    </row>
    <row r="5">
      <c r="A5" s="17" t="inlineStr">
        <is>
          <t>Total Beds Available</t>
        </is>
      </c>
      <c r="B5" s="23" t="n"/>
      <c r="C5" s="23" t="n"/>
      <c r="D5" s="23" t="n"/>
      <c r="E5" s="23" t="n"/>
      <c r="F5" s="23" t="n"/>
      <c r="I5" t="inlineStr">
        <is>
          <t>I</t>
        </is>
      </c>
    </row>
    <row r="6">
      <c r="A6" s="17" t="inlineStr">
        <is>
          <t>Occupied Bed Days</t>
        </is>
      </c>
      <c r="B6" s="23" t="n"/>
      <c r="C6" s="23" t="n"/>
      <c r="D6" s="23" t="n"/>
      <c r="E6" s="23" t="n"/>
      <c r="F6" s="23" t="n"/>
      <c r="I6" t="inlineStr">
        <is>
          <t>I</t>
        </is>
      </c>
    </row>
    <row r="7">
      <c r="A7" s="17" t="inlineStr">
        <is>
          <t>Total Available Bed Days</t>
        </is>
      </c>
      <c r="B7" s="23" t="n"/>
      <c r="C7" s="23" t="n"/>
      <c r="D7" s="23" t="n"/>
      <c r="E7" s="23" t="n"/>
      <c r="F7" s="23" t="n"/>
      <c r="I7" t="inlineStr">
        <is>
          <t>I</t>
        </is>
      </c>
    </row>
    <row r="8">
      <c r="A8" s="25" t="inlineStr">
        <is>
          <t>Occupancy Rate %</t>
        </is>
      </c>
      <c r="B8" s="26">
        <f>IF(B7&lt;&gt;0,B6/B7,0)</f>
        <v/>
      </c>
      <c r="C8" s="26">
        <f>IF(C7&lt;&gt;0,C6/C7,0)</f>
        <v/>
      </c>
      <c r="D8" s="26">
        <f>IF(D7&lt;&gt;0,D6/D7,0)</f>
        <v/>
      </c>
      <c r="E8" s="26">
        <f>IF(E7&lt;&gt;0,E6/E7,0)</f>
        <v/>
      </c>
      <c r="F8" s="26">
        <f>IF(F7&lt;&gt;0,F6/F7,0)</f>
        <v/>
      </c>
      <c r="I8" t="inlineStr">
        <is>
          <t>P</t>
        </is>
      </c>
    </row>
    <row r="9">
      <c r="A9" s="17" t="inlineStr">
        <is>
          <t>ALOS (Avg Length of Stay, days)</t>
        </is>
      </c>
      <c r="B9" s="41" t="n"/>
      <c r="C9" s="41" t="n"/>
      <c r="D9" s="41" t="n"/>
      <c r="E9" s="41" t="n"/>
      <c r="F9" s="41" t="n"/>
      <c r="I9" t="inlineStr">
        <is>
          <t>I</t>
        </is>
      </c>
    </row>
    <row r="10">
      <c r="A10" s="19" t="inlineStr">
        <is>
          <t>Total Discharges</t>
        </is>
      </c>
      <c r="B10" s="24">
        <f>IF(B9&lt;&gt;0,B6/B9,0)</f>
        <v/>
      </c>
      <c r="C10" s="24">
        <f>IF(C9&lt;&gt;0,C6/C9,0)</f>
        <v/>
      </c>
      <c r="D10" s="24">
        <f>IF(D9&lt;&gt;0,D6/D9,0)</f>
        <v/>
      </c>
      <c r="E10" s="24">
        <f>IF(E9&lt;&gt;0,E6/E9,0)</f>
        <v/>
      </c>
      <c r="F10" s="24">
        <f>IF(F9&lt;&gt;0,F6/F9,0)</f>
        <v/>
      </c>
      <c r="I10" t="inlineStr">
        <is>
          <t>T</t>
        </is>
      </c>
    </row>
    <row r="12">
      <c r="A12" s="15" t="inlineStr">
        <is>
          <t>2. ARPOB &amp; Revenue per Bed</t>
        </is>
      </c>
      <c r="B12" s="43" t="n"/>
      <c r="C12" s="43" t="n"/>
      <c r="D12" s="43" t="n"/>
      <c r="E12" s="43" t="n"/>
      <c r="H12" t="inlineStr">
        <is>
          <t>hc_arpob</t>
        </is>
      </c>
      <c r="I12" t="inlineStr">
        <is>
          <t>S</t>
        </is>
      </c>
    </row>
    <row r="13">
      <c r="A13" s="17" t="inlineStr">
        <is>
          <t>Inpatient Revenue</t>
        </is>
      </c>
      <c r="B13" s="18" t="n"/>
      <c r="C13" s="18" t="n"/>
      <c r="D13" s="18" t="n"/>
      <c r="E13" s="18" t="n"/>
      <c r="F13" s="18" t="n"/>
      <c r="I13" t="inlineStr">
        <is>
          <t>I</t>
        </is>
      </c>
    </row>
    <row r="14">
      <c r="A14" s="19" t="inlineStr">
        <is>
          <t>ARPOB (Avg Rev per Occupied Bed)</t>
        </is>
      </c>
      <c r="B14" s="20">
        <f>IF(B6&lt;&gt;0,B13/B6,0)</f>
        <v/>
      </c>
      <c r="C14" s="20">
        <f>IF(C6&lt;&gt;0,C13/C6,0)</f>
        <v/>
      </c>
      <c r="D14" s="20">
        <f>IF(D6&lt;&gt;0,D13/D6,0)</f>
        <v/>
      </c>
      <c r="E14" s="20">
        <f>IF(E6&lt;&gt;0,E13/E6,0)</f>
        <v/>
      </c>
      <c r="F14" s="20">
        <f>IF(F6&lt;&gt;0,F13/F6,0)</f>
        <v/>
      </c>
      <c r="I14" t="inlineStr">
        <is>
          <t>T</t>
        </is>
      </c>
    </row>
    <row r="15">
      <c r="A15" s="28" t="inlineStr">
        <is>
          <t>Revenue per Available Bed</t>
        </is>
      </c>
      <c r="B15" s="29">
        <f>IF(B5&lt;&gt;0,B13/B5,0)</f>
        <v/>
      </c>
      <c r="C15" s="29">
        <f>IF(C5&lt;&gt;0,C13/C5,0)</f>
        <v/>
      </c>
      <c r="D15" s="29">
        <f>IF(D5&lt;&gt;0,D13/D5,0)</f>
        <v/>
      </c>
      <c r="E15" s="29">
        <f>IF(E5&lt;&gt;0,E13/E5,0)</f>
        <v/>
      </c>
      <c r="F15" s="29">
        <f>IF(F5&lt;&gt;0,F13/F5,0)</f>
        <v/>
      </c>
      <c r="I15" t="inlineStr">
        <is>
          <t>F</t>
        </is>
      </c>
    </row>
    <row r="17">
      <c r="A17" s="15" t="inlineStr">
        <is>
          <t>3. Department Revenue</t>
        </is>
      </c>
      <c r="B17" s="43" t="n"/>
      <c r="C17" s="43" t="n"/>
      <c r="D17" s="43" t="n"/>
      <c r="E17" s="43" t="n"/>
      <c r="H17" t="inlineStr">
        <is>
          <t>hc_dept_revenue</t>
        </is>
      </c>
      <c r="I17" t="inlineStr">
        <is>
          <t>S</t>
        </is>
      </c>
    </row>
    <row r="18">
      <c r="A18" s="17" t="inlineStr">
        <is>
          <t>IPD Revenue</t>
        </is>
      </c>
      <c r="B18" s="18" t="n"/>
      <c r="C18" s="18" t="n"/>
      <c r="D18" s="18" t="n"/>
      <c r="E18" s="18" t="n"/>
      <c r="F18" s="18" t="n"/>
      <c r="I18" t="inlineStr">
        <is>
          <t>I</t>
        </is>
      </c>
    </row>
    <row r="19">
      <c r="A19" s="17" t="inlineStr">
        <is>
          <t>OPD Revenue</t>
        </is>
      </c>
      <c r="B19" s="18" t="n"/>
      <c r="C19" s="18" t="n"/>
      <c r="D19" s="18" t="n"/>
      <c r="E19" s="18" t="n"/>
      <c r="F19" s="18" t="n"/>
      <c r="I19" t="inlineStr">
        <is>
          <t>I</t>
        </is>
      </c>
    </row>
    <row r="20">
      <c r="A20" s="17" t="inlineStr">
        <is>
          <t>Pharmacy Revenue</t>
        </is>
      </c>
      <c r="B20" s="18" t="n"/>
      <c r="C20" s="18" t="n"/>
      <c r="D20" s="18" t="n"/>
      <c r="E20" s="18" t="n"/>
      <c r="F20" s="18" t="n"/>
      <c r="I20" t="inlineStr">
        <is>
          <t>I</t>
        </is>
      </c>
    </row>
    <row r="21">
      <c r="A21" s="17" t="inlineStr">
        <is>
          <t>Diagnostics Revenue</t>
        </is>
      </c>
      <c r="B21" s="18" t="n"/>
      <c r="C21" s="18" t="n"/>
      <c r="D21" s="18" t="n"/>
      <c r="E21" s="18" t="n"/>
      <c r="F21" s="18" t="n"/>
      <c r="I21" t="inlineStr">
        <is>
          <t>I</t>
        </is>
      </c>
    </row>
    <row r="22">
      <c r="A22" s="17" t="inlineStr">
        <is>
          <t>Surgical Revenue</t>
        </is>
      </c>
      <c r="B22" s="18" t="n"/>
      <c r="C22" s="18" t="n"/>
      <c r="D22" s="18" t="n"/>
      <c r="E22" s="18" t="n"/>
      <c r="F22" s="18" t="n"/>
      <c r="I22" t="inlineStr">
        <is>
          <t>I</t>
        </is>
      </c>
    </row>
    <row r="23">
      <c r="A23" s="17" t="inlineStr">
        <is>
          <t>Emergency Revenue</t>
        </is>
      </c>
      <c r="B23" s="18" t="n"/>
      <c r="C23" s="18" t="n"/>
      <c r="D23" s="18" t="n"/>
      <c r="E23" s="18" t="n"/>
      <c r="F23" s="18" t="n"/>
      <c r="I23" t="inlineStr">
        <is>
          <t>I</t>
        </is>
      </c>
    </row>
    <row r="24">
      <c r="A24" s="21" t="inlineStr">
        <is>
          <t>Total Revenue</t>
        </is>
      </c>
      <c r="B24" s="35">
        <f>B18+B19+B20+B21+B22+B23</f>
        <v/>
      </c>
      <c r="C24" s="35">
        <f>C18+C19+C20+C21+C22+C23</f>
        <v/>
      </c>
      <c r="D24" s="35">
        <f>D18+D19+D20+D21+D22+D23</f>
        <v/>
      </c>
      <c r="E24" s="35">
        <f>E18+E19+E20+E21+E22+E23</f>
        <v/>
      </c>
      <c r="F24" s="35">
        <f>F18+F19+F20+F21+F22+F23</f>
        <v/>
      </c>
      <c r="I24" t="inlineStr">
        <is>
          <t>T</t>
        </is>
      </c>
    </row>
    <row r="26">
      <c r="A26" s="15" t="inlineStr">
        <is>
          <t>4. Payer Mix</t>
        </is>
      </c>
      <c r="B26" s="43" t="n"/>
      <c r="C26" s="43" t="n"/>
      <c r="D26" s="43" t="n"/>
      <c r="E26" s="43" t="n"/>
      <c r="H26" t="inlineStr">
        <is>
          <t>hc_payer_mix</t>
        </is>
      </c>
      <c r="I26" t="inlineStr">
        <is>
          <t>S</t>
        </is>
      </c>
    </row>
    <row r="27">
      <c r="A27" s="17" t="inlineStr">
        <is>
          <t>Insurance Revenue</t>
        </is>
      </c>
      <c r="B27" s="18" t="n"/>
      <c r="C27" s="18" t="n"/>
      <c r="D27" s="18" t="n"/>
      <c r="E27" s="18" t="n"/>
      <c r="F27" s="18" t="n"/>
      <c r="I27" t="inlineStr">
        <is>
          <t>I</t>
        </is>
      </c>
    </row>
    <row r="28">
      <c r="A28" s="17" t="inlineStr">
        <is>
          <t>Cash/Self-Pay Revenue</t>
        </is>
      </c>
      <c r="B28" s="18" t="n"/>
      <c r="C28" s="18" t="n"/>
      <c r="D28" s="18" t="n"/>
      <c r="E28" s="18" t="n"/>
      <c r="F28" s="18" t="n"/>
      <c r="I28" t="inlineStr">
        <is>
          <t>I</t>
        </is>
      </c>
    </row>
    <row r="29">
      <c r="A29" s="17" t="inlineStr">
        <is>
          <t>Government Revenue</t>
        </is>
      </c>
      <c r="B29" s="18" t="n"/>
      <c r="C29" s="18" t="n"/>
      <c r="D29" s="18" t="n"/>
      <c r="E29" s="18" t="n"/>
      <c r="F29" s="18" t="n"/>
      <c r="I29" t="inlineStr">
        <is>
          <t>I</t>
        </is>
      </c>
    </row>
    <row r="30">
      <c r="A30" s="17" t="inlineStr">
        <is>
          <t>Corporate/TPA Revenue</t>
        </is>
      </c>
      <c r="B30" s="18" t="n"/>
      <c r="C30" s="18" t="n"/>
      <c r="D30" s="18" t="n"/>
      <c r="E30" s="18" t="n"/>
      <c r="F30" s="18" t="n"/>
      <c r="I30" t="inlineStr">
        <is>
          <t>I</t>
        </is>
      </c>
    </row>
    <row r="31">
      <c r="A31" s="19" t="inlineStr">
        <is>
          <t>Total Revenue</t>
        </is>
      </c>
      <c r="B31" s="20">
        <f>B27+B28+B29+B30</f>
        <v/>
      </c>
      <c r="C31" s="20">
        <f>C27+C28+C29+C30</f>
        <v/>
      </c>
      <c r="D31" s="20">
        <f>D27+D28+D29+D30</f>
        <v/>
      </c>
      <c r="E31" s="20">
        <f>E27+E28+E29+E30</f>
        <v/>
      </c>
      <c r="F31" s="20">
        <f>F27+F28+F29+F30</f>
        <v/>
      </c>
      <c r="I31" t="inlineStr">
        <is>
          <t>T</t>
        </is>
      </c>
    </row>
    <row r="32">
      <c r="A32" s="42" t="inlineStr">
        <is>
          <t xml:space="preserve">  Insurance %</t>
        </is>
      </c>
      <c r="B32" s="26">
        <f>IF(B31&lt;&gt;0,B27/B31,0)</f>
        <v/>
      </c>
      <c r="C32" s="26">
        <f>IF(C31&lt;&gt;0,C27/C31,0)</f>
        <v/>
      </c>
      <c r="D32" s="26">
        <f>IF(D31&lt;&gt;0,D27/D31,0)</f>
        <v/>
      </c>
      <c r="E32" s="26">
        <f>IF(E31&lt;&gt;0,E27/E31,0)</f>
        <v/>
      </c>
      <c r="F32" s="26">
        <f>IF(F31&lt;&gt;0,F27/F31,0)</f>
        <v/>
      </c>
      <c r="I32" t="inlineStr">
        <is>
          <t>P</t>
        </is>
      </c>
    </row>
    <row r="33">
      <c r="A33" s="42" t="inlineStr">
        <is>
          <t xml:space="preserve">  Cash/Self-Pay %</t>
        </is>
      </c>
      <c r="B33" s="26">
        <f>IF(B31&lt;&gt;0,B28/B31,0)</f>
        <v/>
      </c>
      <c r="C33" s="26">
        <f>IF(C31&lt;&gt;0,C28/C31,0)</f>
        <v/>
      </c>
      <c r="D33" s="26">
        <f>IF(D31&lt;&gt;0,D28/D31,0)</f>
        <v/>
      </c>
      <c r="E33" s="26">
        <f>IF(E31&lt;&gt;0,E28/E31,0)</f>
        <v/>
      </c>
      <c r="F33" s="26">
        <f>IF(F31&lt;&gt;0,F28/F31,0)</f>
        <v/>
      </c>
      <c r="I33" t="inlineStr">
        <is>
          <t>P</t>
        </is>
      </c>
    </row>
    <row r="34">
      <c r="A34" s="42" t="inlineStr">
        <is>
          <t xml:space="preserve">  Government %</t>
        </is>
      </c>
      <c r="B34" s="26">
        <f>IF(B31&lt;&gt;0,B29/B31,0)</f>
        <v/>
      </c>
      <c r="C34" s="26">
        <f>IF(C31&lt;&gt;0,C29/C31,0)</f>
        <v/>
      </c>
      <c r="D34" s="26">
        <f>IF(D31&lt;&gt;0,D29/D31,0)</f>
        <v/>
      </c>
      <c r="E34" s="26">
        <f>IF(E31&lt;&gt;0,E29/E31,0)</f>
        <v/>
      </c>
      <c r="F34" s="26">
        <f>IF(F31&lt;&gt;0,F29/F31,0)</f>
        <v/>
      </c>
      <c r="I34" t="inlineStr">
        <is>
          <t>P</t>
        </is>
      </c>
    </row>
    <row r="35">
      <c r="A35" s="42" t="inlineStr">
        <is>
          <t xml:space="preserve">  Corporate/TPA %</t>
        </is>
      </c>
      <c r="B35" s="26">
        <f>IF(B31&lt;&gt;0,B30/B31,0)</f>
        <v/>
      </c>
      <c r="C35" s="26">
        <f>IF(C31&lt;&gt;0,C30/C31,0)</f>
        <v/>
      </c>
      <c r="D35" s="26">
        <f>IF(D31&lt;&gt;0,D30/D31,0)</f>
        <v/>
      </c>
      <c r="E35" s="26">
        <f>IF(E31&lt;&gt;0,E30/E31,0)</f>
        <v/>
      </c>
      <c r="F35" s="26">
        <f>IF(F31&lt;&gt;0,F30/F31,0)</f>
        <v/>
      </c>
      <c r="I35" t="inlineStr">
        <is>
          <t>P</t>
        </is>
      </c>
    </row>
    <row r="37">
      <c r="A37" s="15" t="inlineStr">
        <is>
          <t>5. OPD &amp; IPD Volumes</t>
        </is>
      </c>
      <c r="B37" s="43" t="n"/>
      <c r="C37" s="43" t="n"/>
      <c r="D37" s="43" t="n"/>
      <c r="E37" s="43" t="n"/>
      <c r="H37" t="inlineStr">
        <is>
          <t>hc_opd_ipd</t>
        </is>
      </c>
      <c r="I37" t="inlineStr">
        <is>
          <t>S</t>
        </is>
      </c>
    </row>
    <row r="38">
      <c r="A38" s="17" t="inlineStr">
        <is>
          <t>Daily OPD Patients</t>
        </is>
      </c>
      <c r="B38" s="23" t="n"/>
      <c r="C38" s="23" t="n"/>
      <c r="D38" s="23" t="n"/>
      <c r="E38" s="23" t="n"/>
      <c r="F38" s="23" t="n"/>
      <c r="I38" t="inlineStr">
        <is>
          <t>I</t>
        </is>
      </c>
    </row>
    <row r="39">
      <c r="A39" s="17" t="inlineStr">
        <is>
          <t>Operating Days per Year</t>
        </is>
      </c>
      <c r="B39" s="23" t="n"/>
      <c r="C39" s="23" t="n"/>
      <c r="D39" s="23" t="n"/>
      <c r="E39" s="23" t="n"/>
      <c r="F39" s="23" t="n"/>
      <c r="I39" t="inlineStr">
        <is>
          <t>I</t>
        </is>
      </c>
    </row>
    <row r="40">
      <c r="A40" s="19" t="inlineStr">
        <is>
          <t>Annual OPD Visits</t>
        </is>
      </c>
      <c r="B40" s="24">
        <f>B38*B39</f>
        <v/>
      </c>
      <c r="C40" s="24">
        <f>C38*C39</f>
        <v/>
      </c>
      <c r="D40" s="24">
        <f>D38*D39</f>
        <v/>
      </c>
      <c r="E40" s="24">
        <f>E38*E39</f>
        <v/>
      </c>
      <c r="F40" s="24">
        <f>F38*F39</f>
        <v/>
      </c>
      <c r="I40" t="inlineStr">
        <is>
          <t>T</t>
        </is>
      </c>
    </row>
    <row r="41">
      <c r="A41" s="17" t="inlineStr">
        <is>
          <t>IPD Admissions</t>
        </is>
      </c>
      <c r="B41" s="23" t="n"/>
      <c r="C41" s="23" t="n"/>
      <c r="D41" s="23" t="n"/>
      <c r="E41" s="23" t="n"/>
      <c r="F41" s="23" t="n"/>
      <c r="I41" t="inlineStr">
        <is>
          <t>I</t>
        </is>
      </c>
    </row>
    <row r="42">
      <c r="A42" s="25" t="inlineStr">
        <is>
          <t>OPD → IPD Conversion %</t>
        </is>
      </c>
      <c r="B42" s="26">
        <f>IF(B40&lt;&gt;0,B41/B40,0)</f>
        <v/>
      </c>
      <c r="C42" s="26">
        <f>IF(C40&lt;&gt;0,C41/C40,0)</f>
        <v/>
      </c>
      <c r="D42" s="26">
        <f>IF(D40&lt;&gt;0,D41/D40,0)</f>
        <v/>
      </c>
      <c r="E42" s="26">
        <f>IF(E40&lt;&gt;0,E41/E40,0)</f>
        <v/>
      </c>
      <c r="F42" s="26">
        <f>IF(F40&lt;&gt;0,F41/F40,0)</f>
        <v/>
      </c>
      <c r="I42" t="inlineStr">
        <is>
          <t>P</t>
        </is>
      </c>
    </row>
    <row r="44">
      <c r="A44" s="15" t="inlineStr">
        <is>
          <t>6. Cost per Bed Day</t>
        </is>
      </c>
      <c r="B44" s="43" t="n"/>
      <c r="C44" s="43" t="n"/>
      <c r="D44" s="43" t="n"/>
      <c r="E44" s="43" t="n"/>
      <c r="H44" t="inlineStr">
        <is>
          <t>hc_cost_per_bed</t>
        </is>
      </c>
      <c r="I44" t="inlineStr">
        <is>
          <t>S</t>
        </is>
      </c>
    </row>
    <row r="45">
      <c r="A45" s="17" t="inlineStr">
        <is>
          <t>Medical Supplies Cost</t>
        </is>
      </c>
      <c r="B45" s="18" t="n"/>
      <c r="C45" s="18" t="n"/>
      <c r="D45" s="18" t="n"/>
      <c r="E45" s="18" t="n"/>
      <c r="F45" s="18" t="n"/>
      <c r="I45" t="inlineStr">
        <is>
          <t>I</t>
        </is>
      </c>
    </row>
    <row r="46">
      <c r="A46" s="17" t="inlineStr">
        <is>
          <t>Staff Cost (allocated to beds)</t>
        </is>
      </c>
      <c r="B46" s="18" t="n"/>
      <c r="C46" s="18" t="n"/>
      <c r="D46" s="18" t="n"/>
      <c r="E46" s="18" t="n"/>
      <c r="F46" s="18" t="n"/>
      <c r="I46" t="inlineStr">
        <is>
          <t>I</t>
        </is>
      </c>
    </row>
    <row r="47">
      <c r="A47" s="17" t="inlineStr">
        <is>
          <t>Pharmacy COGS</t>
        </is>
      </c>
      <c r="B47" s="18" t="n"/>
      <c r="C47" s="18" t="n"/>
      <c r="D47" s="18" t="n"/>
      <c r="E47" s="18" t="n"/>
      <c r="F47" s="18" t="n"/>
      <c r="I47" t="inlineStr">
        <is>
          <t>I</t>
        </is>
      </c>
    </row>
    <row r="48">
      <c r="A48" s="19" t="inlineStr">
        <is>
          <t>Total Direct Cost</t>
        </is>
      </c>
      <c r="B48" s="20">
        <f>B45+B46+B47</f>
        <v/>
      </c>
      <c r="C48" s="20">
        <f>C45+C46+C47</f>
        <v/>
      </c>
      <c r="D48" s="20">
        <f>D45+D46+D47</f>
        <v/>
      </c>
      <c r="E48" s="20">
        <f>E45+E46+E47</f>
        <v/>
      </c>
      <c r="F48" s="20">
        <f>F45+F46+F47</f>
        <v/>
      </c>
      <c r="I48" t="inlineStr">
        <is>
          <t>T</t>
        </is>
      </c>
    </row>
    <row r="49">
      <c r="A49" s="28" t="inlineStr">
        <is>
          <t>Cost per Occupied Bed Day</t>
        </is>
      </c>
      <c r="B49" s="29">
        <f>IF(B6&lt;&gt;0,B48/B6,0)</f>
        <v/>
      </c>
      <c r="C49" s="29">
        <f>IF(C6&lt;&gt;0,C48/C6,0)</f>
        <v/>
      </c>
      <c r="D49" s="29">
        <f>IF(D6&lt;&gt;0,D48/D6,0)</f>
        <v/>
      </c>
      <c r="E49" s="29">
        <f>IF(E6&lt;&gt;0,E48/E6,0)</f>
        <v/>
      </c>
      <c r="F49" s="29">
        <f>IF(F6&lt;&gt;0,F48/F6,0)</f>
        <v/>
      </c>
      <c r="I49" t="inlineStr">
        <is>
          <t>F</t>
        </is>
      </c>
    </row>
    <row r="50">
      <c r="A50" s="19" t="inlineStr">
        <is>
          <t>Contribution</t>
        </is>
      </c>
      <c r="B50" s="20">
        <f>B13-B48</f>
        <v/>
      </c>
      <c r="C50" s="20">
        <f>C13-C48</f>
        <v/>
      </c>
      <c r="D50" s="20">
        <f>D13-D48</f>
        <v/>
      </c>
      <c r="E50" s="20">
        <f>E13-E48</f>
        <v/>
      </c>
      <c r="F50" s="20">
        <f>F13-F48</f>
        <v/>
      </c>
      <c r="I50" t="inlineStr">
        <is>
          <t>T</t>
        </is>
      </c>
    </row>
    <row r="52">
      <c r="A52" s="15" t="inlineStr">
        <is>
          <t>7. P&amp;L Summary</t>
        </is>
      </c>
      <c r="B52" s="43" t="n"/>
      <c r="C52" s="43" t="n"/>
      <c r="D52" s="43" t="n"/>
      <c r="E52" s="43" t="n"/>
      <c r="H52" t="inlineStr">
        <is>
          <t>hc_pnl</t>
        </is>
      </c>
      <c r="I52" t="inlineStr">
        <is>
          <t>S</t>
        </is>
      </c>
    </row>
    <row r="53">
      <c r="A53" s="17" t="inlineStr">
        <is>
          <t>Total Revenue</t>
        </is>
      </c>
      <c r="B53" s="18" t="n"/>
      <c r="C53" s="18" t="n"/>
      <c r="D53" s="18" t="n"/>
      <c r="E53" s="18" t="n"/>
      <c r="F53" s="18" t="n"/>
      <c r="I53" t="inlineStr">
        <is>
          <t>I</t>
        </is>
      </c>
    </row>
    <row r="54">
      <c r="A54" s="17" t="inlineStr">
        <is>
          <t>Medical Supplies &amp; Consumables</t>
        </is>
      </c>
      <c r="B54" s="18" t="n"/>
      <c r="C54" s="18" t="n"/>
      <c r="D54" s="18" t="n"/>
      <c r="E54" s="18" t="n"/>
      <c r="F54" s="18" t="n"/>
      <c r="I54" t="inlineStr">
        <is>
          <t>I</t>
        </is>
      </c>
    </row>
    <row r="55">
      <c r="A55" s="17" t="inlineStr">
        <is>
          <t>Pharmacy COGS</t>
        </is>
      </c>
      <c r="B55" s="18" t="n"/>
      <c r="C55" s="18" t="n"/>
      <c r="D55" s="18" t="n"/>
      <c r="E55" s="18" t="n"/>
      <c r="F55" s="18" t="n"/>
      <c r="I55" t="inlineStr">
        <is>
          <t>I</t>
        </is>
      </c>
    </row>
    <row r="56">
      <c r="A56" s="19" t="inlineStr">
        <is>
          <t>Gross Profit</t>
        </is>
      </c>
      <c r="B56" s="20">
        <f>B53-B54-B55</f>
        <v/>
      </c>
      <c r="C56" s="20">
        <f>C53-C54-C55</f>
        <v/>
      </c>
      <c r="D56" s="20">
        <f>D53-D54-D55</f>
        <v/>
      </c>
      <c r="E56" s="20">
        <f>E53-E54-E55</f>
        <v/>
      </c>
      <c r="F56" s="20">
        <f>F53-F54-F55</f>
        <v/>
      </c>
      <c r="I56" t="inlineStr">
        <is>
          <t>T</t>
        </is>
      </c>
    </row>
    <row r="57">
      <c r="A57" s="17" t="inlineStr">
        <is>
          <t>Doctor Fees &amp; Salaries</t>
        </is>
      </c>
      <c r="B57" s="18" t="n"/>
      <c r="C57" s="18" t="n"/>
      <c r="D57" s="18" t="n"/>
      <c r="E57" s="18" t="n"/>
      <c r="F57" s="18" t="n"/>
      <c r="I57" t="inlineStr">
        <is>
          <t>I</t>
        </is>
      </c>
    </row>
    <row r="58">
      <c r="A58" s="17" t="inlineStr">
        <is>
          <t>Nursing Staff Costs</t>
        </is>
      </c>
      <c r="B58" s="18" t="n"/>
      <c r="C58" s="18" t="n"/>
      <c r="D58" s="18" t="n"/>
      <c r="E58" s="18" t="n"/>
      <c r="F58" s="18" t="n"/>
      <c r="I58" t="inlineStr">
        <is>
          <t>I</t>
        </is>
      </c>
    </row>
    <row r="59">
      <c r="A59" s="17" t="inlineStr">
        <is>
          <t>Admin &amp; Support Staff</t>
        </is>
      </c>
      <c r="B59" s="18" t="n"/>
      <c r="C59" s="18" t="n"/>
      <c r="D59" s="18" t="n"/>
      <c r="E59" s="18" t="n"/>
      <c r="F59" s="18" t="n"/>
      <c r="I59" t="inlineStr">
        <is>
          <t>I</t>
        </is>
      </c>
    </row>
    <row r="60">
      <c r="A60" s="17" t="inlineStr">
        <is>
          <t>Facility &amp; Maintenance</t>
        </is>
      </c>
      <c r="B60" s="18" t="n"/>
      <c r="C60" s="18" t="n"/>
      <c r="D60" s="18" t="n"/>
      <c r="E60" s="18" t="n"/>
      <c r="F60" s="18" t="n"/>
      <c r="I60" t="inlineStr">
        <is>
          <t>I</t>
        </is>
      </c>
    </row>
    <row r="61">
      <c r="A61" s="17" t="inlineStr">
        <is>
          <t>Marketing &amp; Business Dev</t>
        </is>
      </c>
      <c r="B61" s="18" t="n"/>
      <c r="C61" s="18" t="n"/>
      <c r="D61" s="18" t="n"/>
      <c r="E61" s="18" t="n"/>
      <c r="F61" s="18" t="n"/>
      <c r="I61" t="inlineStr">
        <is>
          <t>I</t>
        </is>
      </c>
    </row>
    <row r="62">
      <c r="A62" s="17" t="inlineStr">
        <is>
          <t>Other G&amp;A</t>
        </is>
      </c>
      <c r="B62" s="18" t="n"/>
      <c r="C62" s="18" t="n"/>
      <c r="D62" s="18" t="n"/>
      <c r="E62" s="18" t="n"/>
      <c r="F62" s="18" t="n"/>
      <c r="I62" t="inlineStr">
        <is>
          <t>I</t>
        </is>
      </c>
    </row>
    <row r="63">
      <c r="A63" s="19" t="inlineStr">
        <is>
          <t>Total OPEX</t>
        </is>
      </c>
      <c r="B63" s="20">
        <f>B57+B58+B59+B60+B61+B62</f>
        <v/>
      </c>
      <c r="C63" s="20">
        <f>C57+C58+C59+C60+C61+C62</f>
        <v/>
      </c>
      <c r="D63" s="20">
        <f>D57+D58+D59+D60+D61+D62</f>
        <v/>
      </c>
      <c r="E63" s="20">
        <f>E57+E58+E59+E60+E61+E62</f>
        <v/>
      </c>
      <c r="F63" s="20">
        <f>F57+F58+F59+F60+F61+F62</f>
        <v/>
      </c>
      <c r="I63" t="inlineStr">
        <is>
          <t>T</t>
        </is>
      </c>
    </row>
    <row r="64">
      <c r="A64" s="19" t="inlineStr">
        <is>
          <t>EBITDA</t>
        </is>
      </c>
      <c r="B64" s="20">
        <f>B56-B63</f>
        <v/>
      </c>
      <c r="C64" s="20">
        <f>C56-C63</f>
        <v/>
      </c>
      <c r="D64" s="20">
        <f>D56-D63</f>
        <v/>
      </c>
      <c r="E64" s="20">
        <f>E56-E63</f>
        <v/>
      </c>
      <c r="F64" s="20">
        <f>F56-F63</f>
        <v/>
      </c>
      <c r="I64" t="inlineStr">
        <is>
          <t>T</t>
        </is>
      </c>
    </row>
    <row r="65">
      <c r="A65" s="17" t="inlineStr">
        <is>
          <t>Depreciation &amp; Amortization</t>
        </is>
      </c>
      <c r="B65" s="18" t="n"/>
      <c r="C65" s="18" t="n"/>
      <c r="D65" s="18" t="n"/>
      <c r="E65" s="18" t="n"/>
      <c r="F65" s="18" t="n"/>
      <c r="I65" t="inlineStr">
        <is>
          <t>I</t>
        </is>
      </c>
    </row>
    <row r="66">
      <c r="A66" s="17" t="inlineStr">
        <is>
          <t>Interest Expense</t>
        </is>
      </c>
      <c r="B66" s="18" t="n"/>
      <c r="C66" s="18" t="n"/>
      <c r="D66" s="18" t="n"/>
      <c r="E66" s="18" t="n"/>
      <c r="F66" s="18" t="n"/>
      <c r="I66" t="inlineStr">
        <is>
          <t>I</t>
        </is>
      </c>
    </row>
    <row r="67">
      <c r="A67" s="17" t="inlineStr">
        <is>
          <t>Tax</t>
        </is>
      </c>
      <c r="B67" s="18" t="n"/>
      <c r="C67" s="18" t="n"/>
      <c r="D67" s="18" t="n"/>
      <c r="E67" s="18" t="n"/>
      <c r="F67" s="18" t="n"/>
      <c r="I67" t="inlineStr">
        <is>
          <t>I</t>
        </is>
      </c>
    </row>
    <row r="68">
      <c r="A68" s="21" t="inlineStr">
        <is>
          <t>PAT (Profit After Tax)</t>
        </is>
      </c>
      <c r="B68" s="35">
        <f>B64-B65-B66-B67</f>
        <v/>
      </c>
      <c r="C68" s="35">
        <f>C64-C65-C66-C67</f>
        <v/>
      </c>
      <c r="D68" s="35">
        <f>D64-D65-D66-D67</f>
        <v/>
      </c>
      <c r="E68" s="35">
        <f>E64-E65-E66-E67</f>
        <v/>
      </c>
      <c r="F68" s="35">
        <f>F64-F65-F66-F67</f>
        <v/>
      </c>
      <c r="I68" t="inlineStr">
        <is>
          <t>T</t>
        </is>
      </c>
    </row>
    <row r="70">
      <c r="A70" s="15" t="inlineStr">
        <is>
          <t>8. Cash Flow &amp; Capex</t>
        </is>
      </c>
      <c r="B70" s="43" t="n"/>
      <c r="C70" s="43" t="n"/>
      <c r="D70" s="43" t="n"/>
      <c r="E70" s="43" t="n"/>
      <c r="H70" t="inlineStr">
        <is>
          <t>hc_cash_flow</t>
        </is>
      </c>
      <c r="I70" t="inlineStr">
        <is>
          <t>S</t>
        </is>
      </c>
    </row>
    <row r="71">
      <c r="A71" s="17" t="inlineStr">
        <is>
          <t>EBITDA</t>
        </is>
      </c>
      <c r="B71" s="18" t="n"/>
      <c r="C71" s="18" t="n"/>
      <c r="D71" s="18" t="n"/>
      <c r="E71" s="18" t="n"/>
      <c r="F71" s="18" t="n"/>
      <c r="I71" t="inlineStr">
        <is>
          <t>I</t>
        </is>
      </c>
    </row>
    <row r="72">
      <c r="A72" s="17" t="inlineStr">
        <is>
          <t>Working Capital Changes</t>
        </is>
      </c>
      <c r="B72" s="18" t="n"/>
      <c r="C72" s="18" t="n"/>
      <c r="D72" s="18" t="n"/>
      <c r="E72" s="18" t="n"/>
      <c r="F72" s="18" t="n"/>
      <c r="I72" t="inlineStr">
        <is>
          <t>I</t>
        </is>
      </c>
    </row>
    <row r="73">
      <c r="A73" s="17" t="inlineStr">
        <is>
          <t>Tax Paid</t>
        </is>
      </c>
      <c r="B73" s="18" t="n"/>
      <c r="C73" s="18" t="n"/>
      <c r="D73" s="18" t="n"/>
      <c r="E73" s="18" t="n"/>
      <c r="F73" s="18" t="n"/>
      <c r="I73" t="inlineStr">
        <is>
          <t>I</t>
        </is>
      </c>
    </row>
    <row r="74">
      <c r="A74" s="19" t="inlineStr">
        <is>
          <t>CF from Operations</t>
        </is>
      </c>
      <c r="B74" s="20">
        <f>B71+B72-B73</f>
        <v/>
      </c>
      <c r="C74" s="20">
        <f>C71+C72-C73</f>
        <v/>
      </c>
      <c r="D74" s="20">
        <f>D71+D72-D73</f>
        <v/>
      </c>
      <c r="E74" s="20">
        <f>E71+E72-E73</f>
        <v/>
      </c>
      <c r="F74" s="20">
        <f>F71+F72-F73</f>
        <v/>
      </c>
      <c r="I74" t="inlineStr">
        <is>
          <t>T</t>
        </is>
      </c>
    </row>
    <row r="75">
      <c r="A75" s="17" t="inlineStr">
        <is>
          <t>Equipment Capex</t>
        </is>
      </c>
      <c r="B75" s="18" t="n"/>
      <c r="C75" s="18" t="n"/>
      <c r="D75" s="18" t="n"/>
      <c r="E75" s="18" t="n"/>
      <c r="F75" s="18" t="n"/>
      <c r="I75" t="inlineStr">
        <is>
          <t>I</t>
        </is>
      </c>
    </row>
    <row r="76">
      <c r="A76" s="17" t="inlineStr">
        <is>
          <t>Expansion/Building Capex</t>
        </is>
      </c>
      <c r="B76" s="18" t="n"/>
      <c r="C76" s="18" t="n"/>
      <c r="D76" s="18" t="n"/>
      <c r="E76" s="18" t="n"/>
      <c r="F76" s="18" t="n"/>
      <c r="I76" t="inlineStr">
        <is>
          <t>I</t>
        </is>
      </c>
    </row>
    <row r="77">
      <c r="A77" s="19" t="inlineStr">
        <is>
          <t>CF from Investing</t>
        </is>
      </c>
      <c r="B77" s="20">
        <f>-(B75+B76)</f>
        <v/>
      </c>
      <c r="C77" s="20">
        <f>-(C75+C76)</f>
        <v/>
      </c>
      <c r="D77" s="20">
        <f>-(D75+D76)</f>
        <v/>
      </c>
      <c r="E77" s="20">
        <f>-(E75+E76)</f>
        <v/>
      </c>
      <c r="F77" s="20">
        <f>-(F75+F76)</f>
        <v/>
      </c>
      <c r="I77" t="inlineStr">
        <is>
          <t>T</t>
        </is>
      </c>
    </row>
    <row r="78">
      <c r="A78" s="17" t="inlineStr">
        <is>
          <t>Equity Raised</t>
        </is>
      </c>
      <c r="B78" s="18" t="n"/>
      <c r="C78" s="18" t="n"/>
      <c r="D78" s="18" t="n"/>
      <c r="E78" s="18" t="n"/>
      <c r="F78" s="18" t="n"/>
      <c r="I78" t="inlineStr">
        <is>
          <t>I</t>
        </is>
      </c>
    </row>
    <row r="79">
      <c r="A79" s="17" t="inlineStr">
        <is>
          <t>Debt (Net)</t>
        </is>
      </c>
      <c r="B79" s="18" t="n"/>
      <c r="C79" s="18" t="n"/>
      <c r="D79" s="18" t="n"/>
      <c r="E79" s="18" t="n"/>
      <c r="F79" s="18" t="n"/>
      <c r="I79" t="inlineStr">
        <is>
          <t>I</t>
        </is>
      </c>
    </row>
    <row r="80">
      <c r="A80" s="19" t="inlineStr">
        <is>
          <t>CF from Financing</t>
        </is>
      </c>
      <c r="B80" s="20">
        <f>B78+B79</f>
        <v/>
      </c>
      <c r="C80" s="20">
        <f>C78+C79</f>
        <v/>
      </c>
      <c r="D80" s="20">
        <f>D78+D79</f>
        <v/>
      </c>
      <c r="E80" s="20">
        <f>E78+E79</f>
        <v/>
      </c>
      <c r="F80" s="20">
        <f>F78+F79</f>
        <v/>
      </c>
      <c r="I80" t="inlineStr">
        <is>
          <t>T</t>
        </is>
      </c>
    </row>
    <row r="81">
      <c r="A81" s="17" t="inlineStr">
        <is>
          <t>Opening Cash Balance</t>
        </is>
      </c>
      <c r="B81" s="18" t="n"/>
      <c r="C81" s="18" t="n"/>
      <c r="D81" s="18" t="n"/>
      <c r="E81" s="18" t="n"/>
      <c r="F81" s="18" t="n"/>
      <c r="I81" t="inlineStr">
        <is>
          <t>I</t>
        </is>
      </c>
    </row>
    <row r="82">
      <c r="A82" s="21" t="inlineStr">
        <is>
          <t>Closing Cash Balance</t>
        </is>
      </c>
      <c r="B82" s="35">
        <f>B81+B74+B77+B80</f>
        <v/>
      </c>
      <c r="C82" s="35">
        <f>C81+C74+C77+C80</f>
        <v/>
      </c>
      <c r="D82" s="35">
        <f>D81+D74+D77+D80</f>
        <v/>
      </c>
      <c r="E82" s="35">
        <f>E81+E74+E77+E80</f>
        <v/>
      </c>
      <c r="F82" s="35">
        <f>F81+F74+F77+F80</f>
        <v/>
      </c>
      <c r="I82" t="inlineStr">
        <is>
          <t>T</t>
        </is>
      </c>
    </row>
    <row r="84">
      <c r="A84" s="15" t="inlineStr">
        <is>
          <t>9. Fundraising &amp; Cap Table</t>
        </is>
      </c>
      <c r="B84" s="43" t="n"/>
      <c r="C84" s="43" t="n"/>
      <c r="D84" s="43" t="n"/>
      <c r="E84" s="43" t="n"/>
      <c r="H84" t="inlineStr">
        <is>
          <t>hc_fundraising</t>
        </is>
      </c>
      <c r="I84" t="inlineStr">
        <is>
          <t>S</t>
        </is>
      </c>
    </row>
    <row r="85">
      <c r="A85" s="37" t="inlineStr">
        <is>
          <t>Round Name</t>
        </is>
      </c>
      <c r="B85" s="38" t="n"/>
      <c r="C85" s="38" t="n"/>
      <c r="D85" s="38" t="n"/>
      <c r="E85" s="38" t="n"/>
      <c r="F85" s="38" t="n"/>
      <c r="I85" t="inlineStr">
        <is>
          <t>I</t>
        </is>
      </c>
    </row>
    <row r="86">
      <c r="A86" s="17" t="inlineStr">
        <is>
          <t>Amount Raised</t>
        </is>
      </c>
      <c r="B86" s="18" t="n"/>
      <c r="C86" s="18" t="n"/>
      <c r="D86" s="18" t="n"/>
      <c r="E86" s="18" t="n"/>
      <c r="F86" s="18" t="n"/>
      <c r="I86" t="inlineStr">
        <is>
          <t>I</t>
        </is>
      </c>
    </row>
    <row r="87">
      <c r="A87" s="17" t="inlineStr">
        <is>
          <t>Pre-Money Valuation</t>
        </is>
      </c>
      <c r="B87" s="18" t="n"/>
      <c r="C87" s="18" t="n"/>
      <c r="D87" s="18" t="n"/>
      <c r="E87" s="18" t="n"/>
      <c r="F87" s="18" t="n"/>
      <c r="I87" t="inlineStr">
        <is>
          <t>I</t>
        </is>
      </c>
    </row>
    <row r="88">
      <c r="A88" s="17" t="inlineStr">
        <is>
          <t>Post-Money Valuation</t>
        </is>
      </c>
      <c r="B88" s="18" t="n"/>
      <c r="C88" s="18" t="n"/>
      <c r="D88" s="18" t="n"/>
      <c r="E88" s="18" t="n"/>
      <c r="F88" s="18" t="n"/>
      <c r="I88" t="inlineStr">
        <is>
          <t>I</t>
        </is>
      </c>
    </row>
    <row r="89">
      <c r="A89" s="17" t="inlineStr">
        <is>
          <t>Dilution %</t>
        </is>
      </c>
      <c r="B89" s="27" t="n"/>
      <c r="C89" s="27" t="n"/>
      <c r="D89" s="27" t="n"/>
      <c r="E89" s="27" t="n"/>
      <c r="F89" s="27" t="n"/>
      <c r="I89" t="inlineStr">
        <is>
          <t>I</t>
        </is>
      </c>
    </row>
    <row r="91">
      <c r="A91" s="39" t="inlineStr">
        <is>
          <t>Cap Table Evolution (%)</t>
        </is>
      </c>
      <c r="I91" t="inlineStr">
        <is>
          <t>H</t>
        </is>
      </c>
    </row>
    <row r="92">
      <c r="A92" s="17" t="inlineStr">
        <is>
          <t>Founders %</t>
        </is>
      </c>
      <c r="B92" s="27" t="n"/>
      <c r="C92" s="27" t="n"/>
      <c r="D92" s="27" t="n"/>
      <c r="E92" s="27" t="n"/>
      <c r="F92" s="27" t="n"/>
      <c r="I92" t="inlineStr">
        <is>
          <t>I</t>
        </is>
      </c>
    </row>
    <row r="93">
      <c r="A93" s="17" t="inlineStr">
        <is>
          <t>ESOP %</t>
        </is>
      </c>
      <c r="B93" s="27" t="n"/>
      <c r="C93" s="27" t="n"/>
      <c r="D93" s="27" t="n"/>
      <c r="E93" s="27" t="n"/>
      <c r="F93" s="27" t="n"/>
      <c r="I93" t="inlineStr">
        <is>
          <t>I</t>
        </is>
      </c>
    </row>
    <row r="94">
      <c r="A94" s="17" t="inlineStr">
        <is>
          <t>Seed Investors %</t>
        </is>
      </c>
      <c r="B94" s="27" t="n"/>
      <c r="C94" s="27" t="n"/>
      <c r="D94" s="27" t="n"/>
      <c r="E94" s="27" t="n"/>
      <c r="F94" s="27" t="n"/>
      <c r="I94" t="inlineStr">
        <is>
          <t>I</t>
        </is>
      </c>
    </row>
    <row r="95">
      <c r="A95" s="17" t="inlineStr">
        <is>
          <t>Series A %</t>
        </is>
      </c>
      <c r="B95" s="27" t="n"/>
      <c r="C95" s="27" t="n"/>
      <c r="D95" s="27" t="n"/>
      <c r="E95" s="27" t="n"/>
      <c r="F95" s="27" t="n"/>
      <c r="I95" t="inlineStr">
        <is>
          <t>I</t>
        </is>
      </c>
    </row>
    <row r="96">
      <c r="A96" s="17" t="inlineStr">
        <is>
          <t>Series B %</t>
        </is>
      </c>
      <c r="B96" s="27" t="n"/>
      <c r="C96" s="27" t="n"/>
      <c r="D96" s="27" t="n"/>
      <c r="E96" s="27" t="n"/>
      <c r="F96" s="27" t="n"/>
      <c r="I96" t="inlineStr">
        <is>
          <t>I</t>
        </is>
      </c>
    </row>
    <row r="97">
      <c r="A97" s="17" t="inlineStr">
        <is>
          <t>Others %</t>
        </is>
      </c>
      <c r="B97" s="27" t="n"/>
      <c r="C97" s="27" t="n"/>
      <c r="D97" s="27" t="n"/>
      <c r="E97" s="27" t="n"/>
      <c r="F97" s="27" t="n"/>
      <c r="I97" t="inlineStr">
        <is>
          <t>I</t>
        </is>
      </c>
    </row>
    <row r="98">
      <c r="A98" s="19" t="inlineStr">
        <is>
          <t>Total %</t>
        </is>
      </c>
      <c r="B98" s="32">
        <f>B92+B93+B94+B95+B96+B97</f>
        <v/>
      </c>
      <c r="C98" s="32">
        <f>C92+C93+C94+C95+C96+C97</f>
        <v/>
      </c>
      <c r="D98" s="32">
        <f>D92+D93+D94+D95+D96+D97</f>
        <v/>
      </c>
      <c r="E98" s="32">
        <f>E92+E93+E94+E95+E96+E97</f>
        <v/>
      </c>
      <c r="F98" s="32">
        <f>F92+F93+F94+F95+F96+F97</f>
        <v/>
      </c>
      <c r="I98" t="inlineStr">
        <is>
          <t>T</t>
        </is>
      </c>
    </row>
  </sheetData>
  <mergeCells count="11">
    <mergeCell ref="A2:F2"/>
    <mergeCell ref="A12:E12"/>
    <mergeCell ref="A4:E4"/>
    <mergeCell ref="A26:E26"/>
    <mergeCell ref="A52:E52"/>
    <mergeCell ref="A1:F1"/>
    <mergeCell ref="A37:E37"/>
    <mergeCell ref="A84:E84"/>
    <mergeCell ref="A44:E44"/>
    <mergeCell ref="A17:E17"/>
    <mergeCell ref="A70:E7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2026-03-04T03:14:27Z</dcterms:created>
  <dcterms:modified xmlns:dcterms="http://purl.org/dc/terms/" xmlns:xsi="http://www.w3.org/2001/XMLSchema-instance" xsi:type="dcterms:W3CDTF">2026-03-04T14:01:07Z</dcterms:modified>
</cp:coreProperties>
</file>